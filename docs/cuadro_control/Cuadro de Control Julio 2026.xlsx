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omapasc-my.sharepoint.com/personal/hpaez_oomapasc_gob_mx1/Documents/Documentos/00 Resultados SGC/Indicadores/Cuadros de Control 2026/"/>
    </mc:Choice>
  </mc:AlternateContent>
  <xr:revisionPtr revIDLastSave="274" documentId="8_{80E68E54-52F9-450F-9AE1-729A770417D0}" xr6:coauthVersionLast="47" xr6:coauthVersionMax="47" xr10:uidLastSave="{77F15855-CB80-4ED1-A021-27E33918064C}"/>
  <bookViews>
    <workbookView xWindow="28680" yWindow="2010" windowWidth="20730" windowHeight="11040" xr2:uid="{00000000-000D-0000-FFFF-FFFF00000000}"/>
  </bookViews>
  <sheets>
    <sheet name="OOMRSC-05" sheetId="9" r:id="rId1"/>
    <sheet name="REPORTES DE CORRECCIÓN" sheetId="12" r:id="rId2"/>
    <sheet name="Hoja1" sheetId="10" r:id="rId3"/>
    <sheet name="Hoja2" sheetId="11" r:id="rId4"/>
    <sheet name="Hoja3" sheetId="13" r:id="rId5"/>
  </sheets>
  <definedNames>
    <definedName name="_xlnm._FilterDatabase" localSheetId="0" hidden="1">'OOMRSC-05'!$A$5:$V$106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3" i="9" l="1"/>
  <c r="AM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7" i="9"/>
  <c r="AM58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74" i="9"/>
  <c r="AM75" i="9"/>
  <c r="AM76" i="9"/>
  <c r="AM77" i="9"/>
  <c r="AM78" i="9"/>
  <c r="AM79" i="9"/>
  <c r="AM80" i="9"/>
  <c r="AM81" i="9"/>
  <c r="AM82" i="9"/>
  <c r="AM83" i="9"/>
  <c r="AM84" i="9"/>
  <c r="AM85" i="9"/>
  <c r="AM86" i="9"/>
  <c r="AM87" i="9"/>
  <c r="AM88" i="9"/>
  <c r="AM89" i="9"/>
  <c r="AM90" i="9"/>
  <c r="AM91" i="9"/>
  <c r="AM92" i="9"/>
  <c r="AM93" i="9"/>
  <c r="AM94" i="9"/>
  <c r="AM95" i="9"/>
  <c r="AM96" i="9"/>
  <c r="AM97" i="9"/>
  <c r="AM98" i="9"/>
  <c r="AM99" i="9"/>
  <c r="AM100" i="9"/>
  <c r="AM101" i="9"/>
  <c r="AM102" i="9"/>
  <c r="AM103" i="9"/>
  <c r="AM104" i="9"/>
  <c r="AM105" i="9"/>
  <c r="AM106" i="9"/>
  <c r="AM7" i="9"/>
  <c r="AJ16" i="9"/>
  <c r="C14" i="13" l="1"/>
  <c r="E14" i="13" s="1"/>
  <c r="G14" i="13" s="1"/>
  <c r="I14" i="13" s="1"/>
  <c r="H14" i="13"/>
  <c r="F14" i="13"/>
  <c r="D14" i="13"/>
  <c r="B14" i="13"/>
  <c r="C14" i="11"/>
  <c r="H14" i="11"/>
  <c r="AI16" i="9" l="1"/>
  <c r="AK16" i="9" s="1"/>
  <c r="AI79" i="9"/>
  <c r="AC79" i="9" l="1"/>
  <c r="AD16" i="9"/>
  <c r="AC16" i="9"/>
  <c r="AE16" i="9" s="1"/>
  <c r="AL16" i="9" s="1"/>
  <c r="F30" i="10" l="1"/>
  <c r="G30" i="10"/>
  <c r="F31" i="10"/>
  <c r="G31" i="10"/>
  <c r="F32" i="10"/>
  <c r="G32" i="10"/>
  <c r="G29" i="10"/>
  <c r="F29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G22" i="10"/>
  <c r="F22" i="10"/>
  <c r="F17" i="10"/>
  <c r="G17" i="10"/>
  <c r="F18" i="10"/>
  <c r="G18" i="10"/>
  <c r="F19" i="10"/>
  <c r="G19" i="10"/>
  <c r="F20" i="10"/>
  <c r="G20" i="10"/>
  <c r="F21" i="10"/>
  <c r="G21" i="10"/>
  <c r="G16" i="10"/>
  <c r="F16" i="10"/>
  <c r="F11" i="10"/>
  <c r="G11" i="10"/>
  <c r="F12" i="10"/>
  <c r="G12" i="10"/>
  <c r="F13" i="10"/>
  <c r="G13" i="10"/>
  <c r="F8" i="10"/>
  <c r="G8" i="10"/>
  <c r="F9" i="10"/>
  <c r="G9" i="10"/>
  <c r="F10" i="10"/>
  <c r="G10" i="10"/>
  <c r="G7" i="10"/>
  <c r="F7" i="10"/>
  <c r="G6" i="10"/>
  <c r="F6" i="10"/>
  <c r="G5" i="10"/>
  <c r="F5" i="10"/>
  <c r="F14" i="11"/>
  <c r="D14" i="11"/>
  <c r="E14" i="11"/>
  <c r="G14" i="11" s="1"/>
  <c r="I14" i="11" s="1"/>
  <c r="B14" i="11"/>
  <c r="F14" i="10" l="1"/>
  <c r="G14" i="10" s="1"/>
  <c r="F33" i="10"/>
  <c r="G33" i="10" s="1"/>
  <c r="AP35" i="9"/>
  <c r="AR35" i="9" s="1"/>
  <c r="AP36" i="9"/>
  <c r="AR36" i="9" s="1"/>
  <c r="AP84" i="9"/>
  <c r="AP85" i="9"/>
  <c r="AP106" i="9"/>
  <c r="AP100" i="9"/>
  <c r="AR100" i="9" s="1"/>
  <c r="AW85" i="9"/>
  <c r="AC85" i="9"/>
  <c r="AW84" i="9"/>
  <c r="AC84" i="9"/>
  <c r="AW35" i="9"/>
  <c r="AY35" i="9" s="1"/>
  <c r="AX35" i="9"/>
  <c r="AW36" i="9"/>
  <c r="AY36" i="9" s="1"/>
  <c r="AX36" i="9"/>
  <c r="AQ35" i="9"/>
  <c r="AQ36" i="9"/>
  <c r="AW100" i="9"/>
  <c r="AY100" i="9" s="1"/>
  <c r="AX100" i="9"/>
  <c r="AQ100" i="9"/>
  <c r="AW106" i="9"/>
  <c r="AY106" i="9" s="1"/>
  <c r="AZ106" i="9" s="1"/>
  <c r="AJ35" i="9"/>
  <c r="AJ36" i="9"/>
  <c r="AJ100" i="9"/>
  <c r="AI35" i="9" l="1"/>
  <c r="AK35" i="9" s="1"/>
  <c r="AI36" i="9"/>
  <c r="AK36" i="9" s="1"/>
  <c r="AI84" i="9"/>
  <c r="AI85" i="9"/>
  <c r="AI100" i="9"/>
  <c r="AK100" i="9" s="1"/>
  <c r="AI106" i="9"/>
  <c r="AD100" i="9"/>
  <c r="AD35" i="9"/>
  <c r="AD36" i="9"/>
  <c r="AC106" i="9" l="1"/>
  <c r="AE106" i="9" l="1"/>
  <c r="AC35" i="9"/>
  <c r="AC36" i="9"/>
  <c r="AC100" i="9"/>
  <c r="AE100" i="9" l="1"/>
  <c r="AZ100" i="9" s="1"/>
  <c r="AE36" i="9"/>
  <c r="AZ36" i="9" s="1"/>
  <c r="AE35" i="9"/>
  <c r="AZ35" i="9" s="1"/>
  <c r="T112" i="9"/>
  <c r="S112" i="9"/>
  <c r="AX106" i="9"/>
  <c r="AQ106" i="9"/>
  <c r="AR106" i="9"/>
  <c r="AS106" i="9" s="1"/>
  <c r="AJ106" i="9"/>
  <c r="AK106" i="9"/>
  <c r="AL106" i="9" s="1"/>
  <c r="AD106" i="9"/>
  <c r="AX105" i="9"/>
  <c r="AW105" i="9"/>
  <c r="AY105" i="9" s="1"/>
  <c r="AQ105" i="9"/>
  <c r="AP105" i="9"/>
  <c r="AR105" i="9" s="1"/>
  <c r="AJ105" i="9"/>
  <c r="AI105" i="9"/>
  <c r="AK105" i="9" s="1"/>
  <c r="AD105" i="9"/>
  <c r="AC105" i="9"/>
  <c r="AL100" i="9" l="1"/>
  <c r="AS100" i="9"/>
  <c r="AL35" i="9"/>
  <c r="AS35" i="9"/>
  <c r="AL36" i="9"/>
  <c r="AS36" i="9"/>
  <c r="AE105" i="9"/>
  <c r="AL105" i="9" s="1"/>
  <c r="AS105" i="9" l="1"/>
  <c r="AZ105" i="9"/>
  <c r="AP38" i="9"/>
  <c r="AW38" i="9"/>
  <c r="AI38" i="9" l="1"/>
  <c r="AC38" i="9" l="1"/>
  <c r="AC49" i="9" l="1"/>
  <c r="AC55" i="9"/>
  <c r="AC90" i="9"/>
  <c r="AX90" i="9"/>
  <c r="AW90" i="9"/>
  <c r="AY90" i="9" s="1"/>
  <c r="AQ90" i="9"/>
  <c r="AP90" i="9"/>
  <c r="AR90" i="9" s="1"/>
  <c r="AJ90" i="9"/>
  <c r="AI90" i="9"/>
  <c r="AK90" i="9" s="1"/>
  <c r="AD90" i="9"/>
  <c r="AX55" i="9"/>
  <c r="AW55" i="9"/>
  <c r="AY55" i="9" s="1"/>
  <c r="AQ55" i="9"/>
  <c r="AP55" i="9"/>
  <c r="AR55" i="9" s="1"/>
  <c r="AJ55" i="9"/>
  <c r="AI55" i="9"/>
  <c r="AK55" i="9" s="1"/>
  <c r="AD55" i="9"/>
  <c r="AX50" i="9"/>
  <c r="AW50" i="9"/>
  <c r="AY50" i="9" s="1"/>
  <c r="AX49" i="9"/>
  <c r="AW49" i="9"/>
  <c r="AY49" i="9" s="1"/>
  <c r="AQ50" i="9"/>
  <c r="AP50" i="9"/>
  <c r="AR50" i="9" s="1"/>
  <c r="AQ49" i="9"/>
  <c r="AP49" i="9"/>
  <c r="AR49" i="9" s="1"/>
  <c r="AJ50" i="9"/>
  <c r="AI50" i="9"/>
  <c r="AK50" i="9" s="1"/>
  <c r="AJ49" i="9"/>
  <c r="AI49" i="9"/>
  <c r="AK49" i="9" s="1"/>
  <c r="AD50" i="9"/>
  <c r="AD49" i="9"/>
  <c r="AX38" i="9"/>
  <c r="AY38" i="9"/>
  <c r="AQ38" i="9"/>
  <c r="AR38" i="9"/>
  <c r="AJ38" i="9"/>
  <c r="AK38" i="9"/>
  <c r="AD38" i="9"/>
  <c r="AE90" i="9" l="1"/>
  <c r="AL90" i="9" s="1"/>
  <c r="AE55" i="9"/>
  <c r="AS55" i="9" s="1"/>
  <c r="AE49" i="9"/>
  <c r="AZ49" i="9" s="1"/>
  <c r="AE38" i="9"/>
  <c r="AZ38" i="9" s="1"/>
  <c r="AC50" i="9"/>
  <c r="AS90" i="9" l="1"/>
  <c r="AS49" i="9"/>
  <c r="AL49" i="9"/>
  <c r="AZ90" i="9"/>
  <c r="AZ55" i="9"/>
  <c r="AE50" i="9"/>
  <c r="AL50" i="9" s="1"/>
  <c r="AL55" i="9"/>
  <c r="AL38" i="9"/>
  <c r="AS38" i="9"/>
  <c r="AZ50" i="9" l="1"/>
  <c r="AS50" i="9"/>
  <c r="AJ101" i="9" l="1"/>
  <c r="AP101" i="9"/>
  <c r="AR101" i="9" s="1"/>
  <c r="AQ101" i="9"/>
  <c r="AW101" i="9"/>
  <c r="AY101" i="9" s="1"/>
  <c r="AX101" i="9"/>
  <c r="AC101" i="9"/>
  <c r="AD101" i="9"/>
  <c r="AE101" i="9" l="1"/>
  <c r="AI101" i="9"/>
  <c r="AK101" i="9" s="1"/>
  <c r="T116" i="9"/>
  <c r="S116" i="9"/>
  <c r="AL101" i="9" l="1"/>
  <c r="AZ101" i="9"/>
  <c r="AS101" i="9"/>
  <c r="AW60" i="9"/>
  <c r="AY60" i="9" s="1"/>
  <c r="AZ60" i="9" s="1"/>
  <c r="AP60" i="9"/>
  <c r="AR60" i="9" s="1"/>
  <c r="AS60" i="9" s="1"/>
  <c r="AI60" i="9"/>
  <c r="AK60" i="9" s="1"/>
  <c r="AL60" i="9" s="1"/>
  <c r="AC60" i="9"/>
  <c r="AE60" i="9" l="1"/>
  <c r="AW12" i="9"/>
  <c r="AP12" i="9"/>
  <c r="AI12" i="9"/>
  <c r="AW8" i="9"/>
  <c r="AP8" i="9"/>
  <c r="AI8" i="9"/>
  <c r="AC8" i="9" l="1"/>
  <c r="AC12" i="9"/>
  <c r="AY85" i="9"/>
  <c r="AR85" i="9"/>
  <c r="AK85" i="9"/>
  <c r="T110" i="9" l="1"/>
  <c r="S110" i="9"/>
  <c r="AX8" i="9" l="1"/>
  <c r="AX9" i="9"/>
  <c r="AX10" i="9"/>
  <c r="AX11" i="9"/>
  <c r="AX12" i="9"/>
  <c r="AX13" i="9"/>
  <c r="AX14" i="9"/>
  <c r="AX15" i="9"/>
  <c r="AX17" i="9"/>
  <c r="AX18" i="9"/>
  <c r="AX19" i="9"/>
  <c r="AX20" i="9"/>
  <c r="AX21" i="9"/>
  <c r="AX22" i="9"/>
  <c r="AX23" i="9"/>
  <c r="AX24" i="9"/>
  <c r="AX25" i="9"/>
  <c r="AX26" i="9"/>
  <c r="AX27" i="9"/>
  <c r="AX28" i="9"/>
  <c r="AX29" i="9"/>
  <c r="AX30" i="9"/>
  <c r="AX31" i="9"/>
  <c r="AX32" i="9"/>
  <c r="AX33" i="9"/>
  <c r="AX34" i="9"/>
  <c r="AX37" i="9"/>
  <c r="AX39" i="9"/>
  <c r="AX40" i="9"/>
  <c r="AX41" i="9"/>
  <c r="AX42" i="9"/>
  <c r="AX43" i="9"/>
  <c r="AX44" i="9"/>
  <c r="AX45" i="9"/>
  <c r="AX46" i="9"/>
  <c r="AX47" i="9"/>
  <c r="AX48" i="9"/>
  <c r="AX51" i="9"/>
  <c r="AX52" i="9"/>
  <c r="AX53" i="9"/>
  <c r="AX54" i="9"/>
  <c r="AX56" i="9"/>
  <c r="AX57" i="9"/>
  <c r="AX58" i="9"/>
  <c r="AX59" i="9"/>
  <c r="AX60" i="9"/>
  <c r="AX61" i="9"/>
  <c r="AX62" i="9"/>
  <c r="AX63" i="9"/>
  <c r="AX64" i="9"/>
  <c r="AX65" i="9"/>
  <c r="AX66" i="9"/>
  <c r="AX67" i="9"/>
  <c r="AX68" i="9"/>
  <c r="AX69" i="9"/>
  <c r="AX70" i="9"/>
  <c r="AX71" i="9"/>
  <c r="AX72" i="9"/>
  <c r="AX73" i="9"/>
  <c r="AX74" i="9"/>
  <c r="AX75" i="9"/>
  <c r="AX76" i="9"/>
  <c r="AX77" i="9"/>
  <c r="AX78" i="9"/>
  <c r="AX79" i="9"/>
  <c r="AX80" i="9"/>
  <c r="AX81" i="9"/>
  <c r="AX82" i="9"/>
  <c r="AX83" i="9"/>
  <c r="AX84" i="9"/>
  <c r="AX85" i="9"/>
  <c r="AX86" i="9"/>
  <c r="AX87" i="9"/>
  <c r="AX88" i="9"/>
  <c r="AX89" i="9"/>
  <c r="AX91" i="9"/>
  <c r="AX92" i="9"/>
  <c r="AX93" i="9"/>
  <c r="AX94" i="9"/>
  <c r="AX95" i="9"/>
  <c r="AX96" i="9"/>
  <c r="AX97" i="9"/>
  <c r="AX98" i="9"/>
  <c r="AX99" i="9"/>
  <c r="AX102" i="9"/>
  <c r="AX103" i="9"/>
  <c r="AX104" i="9"/>
  <c r="AX7" i="9"/>
  <c r="AQ8" i="9"/>
  <c r="AQ9" i="9"/>
  <c r="AQ10" i="9"/>
  <c r="AQ11" i="9"/>
  <c r="AQ12" i="9"/>
  <c r="AQ13" i="9"/>
  <c r="AQ14" i="9"/>
  <c r="AQ15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32" i="9"/>
  <c r="AQ33" i="9"/>
  <c r="AQ34" i="9"/>
  <c r="AQ37" i="9"/>
  <c r="AQ39" i="9"/>
  <c r="AQ40" i="9"/>
  <c r="AQ41" i="9"/>
  <c r="AQ42" i="9"/>
  <c r="AQ43" i="9"/>
  <c r="AQ44" i="9"/>
  <c r="AQ45" i="9"/>
  <c r="AQ46" i="9"/>
  <c r="AQ47" i="9"/>
  <c r="AQ48" i="9"/>
  <c r="AQ51" i="9"/>
  <c r="AQ52" i="9"/>
  <c r="AQ53" i="9"/>
  <c r="AQ54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AQ68" i="9"/>
  <c r="AQ69" i="9"/>
  <c r="AQ70" i="9"/>
  <c r="AQ71" i="9"/>
  <c r="AQ72" i="9"/>
  <c r="AQ73" i="9"/>
  <c r="AQ74" i="9"/>
  <c r="AQ75" i="9"/>
  <c r="AQ76" i="9"/>
  <c r="AQ77" i="9"/>
  <c r="AQ78" i="9"/>
  <c r="AQ79" i="9"/>
  <c r="AQ80" i="9"/>
  <c r="AQ81" i="9"/>
  <c r="AQ82" i="9"/>
  <c r="AQ83" i="9"/>
  <c r="AQ84" i="9"/>
  <c r="AQ85" i="9"/>
  <c r="AQ86" i="9"/>
  <c r="AQ87" i="9"/>
  <c r="AQ88" i="9"/>
  <c r="AQ89" i="9"/>
  <c r="AQ91" i="9"/>
  <c r="AQ92" i="9"/>
  <c r="AQ93" i="9"/>
  <c r="AQ94" i="9"/>
  <c r="AQ95" i="9"/>
  <c r="AQ96" i="9"/>
  <c r="AQ97" i="9"/>
  <c r="AQ98" i="9"/>
  <c r="AQ99" i="9"/>
  <c r="AQ102" i="9"/>
  <c r="AQ103" i="9"/>
  <c r="AQ104" i="9"/>
  <c r="AQ7" i="9"/>
  <c r="AJ8" i="9"/>
  <c r="AJ9" i="9"/>
  <c r="AJ10" i="9"/>
  <c r="AJ11" i="9"/>
  <c r="AJ12" i="9"/>
  <c r="AJ13" i="9"/>
  <c r="AJ14" i="9"/>
  <c r="AJ15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7" i="9"/>
  <c r="AJ39" i="9"/>
  <c r="AJ40" i="9"/>
  <c r="AJ41" i="9"/>
  <c r="AJ42" i="9"/>
  <c r="AJ43" i="9"/>
  <c r="AJ44" i="9"/>
  <c r="AJ45" i="9"/>
  <c r="AJ46" i="9"/>
  <c r="AJ47" i="9"/>
  <c r="AJ48" i="9"/>
  <c r="AJ51" i="9"/>
  <c r="AJ52" i="9"/>
  <c r="AJ53" i="9"/>
  <c r="AJ54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1" i="9"/>
  <c r="AJ92" i="9"/>
  <c r="AJ93" i="9"/>
  <c r="AJ94" i="9"/>
  <c r="AJ95" i="9"/>
  <c r="AJ96" i="9"/>
  <c r="AJ97" i="9"/>
  <c r="AJ98" i="9"/>
  <c r="AJ99" i="9"/>
  <c r="AJ102" i="9"/>
  <c r="AJ103" i="9"/>
  <c r="AJ104" i="9"/>
  <c r="AJ7" i="9"/>
  <c r="S111" i="9" l="1"/>
  <c r="AI104" i="9"/>
  <c r="AK104" i="9" s="1"/>
  <c r="AI103" i="9"/>
  <c r="AK103" i="9" s="1"/>
  <c r="AI102" i="9"/>
  <c r="AK102" i="9" s="1"/>
  <c r="AI99" i="9"/>
  <c r="AK99" i="9" s="1"/>
  <c r="AI98" i="9"/>
  <c r="AK98" i="9" s="1"/>
  <c r="AI97" i="9"/>
  <c r="AK97" i="9" s="1"/>
  <c r="AI96" i="9"/>
  <c r="AK96" i="9" s="1"/>
  <c r="AI95" i="9"/>
  <c r="AK95" i="9" s="1"/>
  <c r="AI94" i="9"/>
  <c r="AK94" i="9" s="1"/>
  <c r="AI93" i="9"/>
  <c r="AK93" i="9" s="1"/>
  <c r="AI92" i="9"/>
  <c r="AK92" i="9" s="1"/>
  <c r="AI91" i="9"/>
  <c r="AK91" i="9" s="1"/>
  <c r="AI89" i="9"/>
  <c r="AK89" i="9" s="1"/>
  <c r="AI88" i="9"/>
  <c r="AK88" i="9" s="1"/>
  <c r="AI87" i="9"/>
  <c r="AK87" i="9" s="1"/>
  <c r="AI86" i="9"/>
  <c r="AK86" i="9" s="1"/>
  <c r="AK84" i="9"/>
  <c r="AI83" i="9"/>
  <c r="AK83" i="9" s="1"/>
  <c r="AI82" i="9"/>
  <c r="AK82" i="9" s="1"/>
  <c r="AI81" i="9"/>
  <c r="AK81" i="9" s="1"/>
  <c r="AI80" i="9"/>
  <c r="AK80" i="9" s="1"/>
  <c r="AK79" i="9"/>
  <c r="AI78" i="9"/>
  <c r="AK78" i="9" s="1"/>
  <c r="AI77" i="9"/>
  <c r="AK77" i="9" s="1"/>
  <c r="AI76" i="9"/>
  <c r="AK76" i="9" s="1"/>
  <c r="AI75" i="9"/>
  <c r="AK75" i="9" s="1"/>
  <c r="AI74" i="9"/>
  <c r="AK74" i="9" s="1"/>
  <c r="AI73" i="9"/>
  <c r="AK73" i="9" s="1"/>
  <c r="AI72" i="9"/>
  <c r="AK72" i="9" s="1"/>
  <c r="AI71" i="9"/>
  <c r="AK71" i="9" s="1"/>
  <c r="AI70" i="9"/>
  <c r="AK70" i="9" s="1"/>
  <c r="AI69" i="9"/>
  <c r="AK69" i="9" s="1"/>
  <c r="AI68" i="9"/>
  <c r="AK68" i="9" s="1"/>
  <c r="AI67" i="9"/>
  <c r="AK67" i="9" s="1"/>
  <c r="AI66" i="9"/>
  <c r="AK66" i="9" s="1"/>
  <c r="AI65" i="9"/>
  <c r="AK65" i="9" s="1"/>
  <c r="AI64" i="9"/>
  <c r="AK64" i="9" s="1"/>
  <c r="AI63" i="9"/>
  <c r="AK63" i="9" s="1"/>
  <c r="AI62" i="9"/>
  <c r="AK62" i="9" s="1"/>
  <c r="AI61" i="9"/>
  <c r="AK61" i="9" s="1"/>
  <c r="AI59" i="9"/>
  <c r="AK59" i="9" s="1"/>
  <c r="AI58" i="9"/>
  <c r="AK58" i="9" s="1"/>
  <c r="AI57" i="9"/>
  <c r="AK57" i="9" s="1"/>
  <c r="AI56" i="9"/>
  <c r="AK56" i="9" s="1"/>
  <c r="AI54" i="9"/>
  <c r="AK54" i="9" s="1"/>
  <c r="AI53" i="9"/>
  <c r="AK53" i="9" s="1"/>
  <c r="AI52" i="9"/>
  <c r="AI51" i="9"/>
  <c r="AK51" i="9" s="1"/>
  <c r="AI48" i="9"/>
  <c r="AK48" i="9" s="1"/>
  <c r="AI47" i="9"/>
  <c r="AK47" i="9" s="1"/>
  <c r="AI46" i="9"/>
  <c r="AK46" i="9" s="1"/>
  <c r="AI45" i="9"/>
  <c r="AK45" i="9" s="1"/>
  <c r="AI44" i="9"/>
  <c r="AK44" i="9" s="1"/>
  <c r="AI43" i="9"/>
  <c r="AK43" i="9" s="1"/>
  <c r="AI42" i="9"/>
  <c r="AK42" i="9" s="1"/>
  <c r="AI41" i="9"/>
  <c r="AK41" i="9" s="1"/>
  <c r="AI40" i="9"/>
  <c r="AK40" i="9" s="1"/>
  <c r="AI39" i="9"/>
  <c r="AK39" i="9" s="1"/>
  <c r="AI37" i="9"/>
  <c r="AI34" i="9"/>
  <c r="AK34" i="9" s="1"/>
  <c r="AI33" i="9"/>
  <c r="AK33" i="9" s="1"/>
  <c r="AI32" i="9"/>
  <c r="AK32" i="9" s="1"/>
  <c r="AI31" i="9"/>
  <c r="AK31" i="9" s="1"/>
  <c r="AI30" i="9"/>
  <c r="AK30" i="9" s="1"/>
  <c r="AI29" i="9"/>
  <c r="AK29" i="9" s="1"/>
  <c r="AI28" i="9"/>
  <c r="AK28" i="9" s="1"/>
  <c r="AI27" i="9"/>
  <c r="AK27" i="9" s="1"/>
  <c r="AI26" i="9"/>
  <c r="AK26" i="9" s="1"/>
  <c r="AI25" i="9"/>
  <c r="AK25" i="9" s="1"/>
  <c r="AI24" i="9"/>
  <c r="AK24" i="9" s="1"/>
  <c r="AI23" i="9"/>
  <c r="AK23" i="9" s="1"/>
  <c r="AI22" i="9"/>
  <c r="AK22" i="9" s="1"/>
  <c r="AI21" i="9"/>
  <c r="AK21" i="9" s="1"/>
  <c r="AI20" i="9"/>
  <c r="AK20" i="9" s="1"/>
  <c r="AI19" i="9"/>
  <c r="AK19" i="9" s="1"/>
  <c r="AI18" i="9"/>
  <c r="AK18" i="9" s="1"/>
  <c r="AI17" i="9"/>
  <c r="AK17" i="9" s="1"/>
  <c r="AI15" i="9"/>
  <c r="AK15" i="9" s="1"/>
  <c r="AI14" i="9"/>
  <c r="AK14" i="9" s="1"/>
  <c r="AI13" i="9"/>
  <c r="AK13" i="9" s="1"/>
  <c r="AK12" i="9"/>
  <c r="AI11" i="9"/>
  <c r="AK11" i="9" s="1"/>
  <c r="AI10" i="9"/>
  <c r="AK10" i="9" s="1"/>
  <c r="AI9" i="9"/>
  <c r="AK9" i="9" s="1"/>
  <c r="AK8" i="9"/>
  <c r="AI7" i="9"/>
  <c r="AK7" i="9" s="1"/>
  <c r="AE85" i="9" l="1"/>
  <c r="AK37" i="9"/>
  <c r="AW67" i="9"/>
  <c r="AY67" i="9" s="1"/>
  <c r="AW77" i="9"/>
  <c r="AY77" i="9" s="1"/>
  <c r="AW94" i="9"/>
  <c r="AY94" i="9" s="1"/>
  <c r="AW20" i="9"/>
  <c r="AY20" i="9" s="1"/>
  <c r="AW23" i="9"/>
  <c r="AY23" i="9" s="1"/>
  <c r="AW27" i="9"/>
  <c r="AY27" i="9" s="1"/>
  <c r="AW64" i="9"/>
  <c r="AY64" i="9" s="1"/>
  <c r="AW71" i="9"/>
  <c r="AY71" i="9" s="1"/>
  <c r="AW79" i="9"/>
  <c r="AY79" i="9" s="1"/>
  <c r="AW87" i="9"/>
  <c r="AY87" i="9" s="1"/>
  <c r="AW96" i="9"/>
  <c r="AY96" i="9" s="1"/>
  <c r="AW73" i="9"/>
  <c r="AY73" i="9" s="1"/>
  <c r="AW81" i="9"/>
  <c r="AY81" i="9" s="1"/>
  <c r="AW98" i="9"/>
  <c r="AY98" i="9" s="1"/>
  <c r="AW104" i="9"/>
  <c r="AY104" i="9" s="1"/>
  <c r="AW75" i="9"/>
  <c r="AY75" i="9" s="1"/>
  <c r="AW83" i="9"/>
  <c r="AY83" i="9" s="1"/>
  <c r="AW92" i="9"/>
  <c r="AY92" i="9" s="1"/>
  <c r="AW102" i="9"/>
  <c r="AY102" i="9" s="1"/>
  <c r="AW24" i="9"/>
  <c r="AY24" i="9" s="1"/>
  <c r="AW39" i="9"/>
  <c r="AY39" i="9" s="1"/>
  <c r="AW51" i="9"/>
  <c r="AY51" i="9" s="1"/>
  <c r="AW58" i="9"/>
  <c r="AY58" i="9" s="1"/>
  <c r="AW62" i="9"/>
  <c r="AY62" i="9" s="1"/>
  <c r="AW63" i="9"/>
  <c r="AY63" i="9" s="1"/>
  <c r="AY8" i="9"/>
  <c r="AW10" i="9"/>
  <c r="AY10" i="9" s="1"/>
  <c r="AY12" i="9"/>
  <c r="AW14" i="9"/>
  <c r="AY14" i="9" s="1"/>
  <c r="AW17" i="9"/>
  <c r="AY17" i="9" s="1"/>
  <c r="AW19" i="9"/>
  <c r="AY19" i="9" s="1"/>
  <c r="AW26" i="9"/>
  <c r="AY26" i="9" s="1"/>
  <c r="AW29" i="9"/>
  <c r="AY29" i="9" s="1"/>
  <c r="AW41" i="9"/>
  <c r="AY41" i="9" s="1"/>
  <c r="AW44" i="9"/>
  <c r="AY44" i="9" s="1"/>
  <c r="AW56" i="9"/>
  <c r="AY56" i="9" s="1"/>
  <c r="AW65" i="9"/>
  <c r="AY65" i="9" s="1"/>
  <c r="AW93" i="9"/>
  <c r="AY93" i="9" s="1"/>
  <c r="AW95" i="9"/>
  <c r="AY95" i="9" s="1"/>
  <c r="AW97" i="9"/>
  <c r="AY97" i="9" s="1"/>
  <c r="AW99" i="9"/>
  <c r="AY99" i="9" s="1"/>
  <c r="AW103" i="9"/>
  <c r="AY103" i="9" s="1"/>
  <c r="AW21" i="9"/>
  <c r="AY21" i="9" s="1"/>
  <c r="AW28" i="9"/>
  <c r="AY28" i="9" s="1"/>
  <c r="AW37" i="9"/>
  <c r="AY37" i="9" s="1"/>
  <c r="AW48" i="9"/>
  <c r="AY48" i="9" s="1"/>
  <c r="AW59" i="9"/>
  <c r="AY59" i="9" s="1"/>
  <c r="AW61" i="9"/>
  <c r="AY61" i="9" s="1"/>
  <c r="AW7" i="9"/>
  <c r="AY7" i="9" s="1"/>
  <c r="AW9" i="9"/>
  <c r="AY9" i="9" s="1"/>
  <c r="AW11" i="9"/>
  <c r="AY11" i="9" s="1"/>
  <c r="AW13" i="9"/>
  <c r="AY13" i="9" s="1"/>
  <c r="AW15" i="9"/>
  <c r="AY15" i="9" s="1"/>
  <c r="AW18" i="9"/>
  <c r="AY18" i="9" s="1"/>
  <c r="AW22" i="9"/>
  <c r="AY22" i="9" s="1"/>
  <c r="AW25" i="9"/>
  <c r="AY25" i="9" s="1"/>
  <c r="AW30" i="9"/>
  <c r="AY30" i="9" s="1"/>
  <c r="AW32" i="9"/>
  <c r="AY32" i="9" s="1"/>
  <c r="AW34" i="9"/>
  <c r="AY34" i="9" s="1"/>
  <c r="AW40" i="9"/>
  <c r="AY40" i="9" s="1"/>
  <c r="AW72" i="9"/>
  <c r="AY72" i="9" s="1"/>
  <c r="AW74" i="9"/>
  <c r="AY74" i="9" s="1"/>
  <c r="AW76" i="9"/>
  <c r="AY76" i="9" s="1"/>
  <c r="AW78" i="9"/>
  <c r="AY78" i="9" s="1"/>
  <c r="AW80" i="9"/>
  <c r="AY80" i="9" s="1"/>
  <c r="AW82" i="9"/>
  <c r="AY82" i="9" s="1"/>
  <c r="AY84" i="9"/>
  <c r="AW86" i="9"/>
  <c r="AY86" i="9" s="1"/>
  <c r="AW88" i="9"/>
  <c r="AY88" i="9" s="1"/>
  <c r="AW45" i="9"/>
  <c r="AY45" i="9" s="1"/>
  <c r="AW66" i="9"/>
  <c r="AY66" i="9" s="1"/>
  <c r="AW47" i="9"/>
  <c r="AY47" i="9" s="1"/>
  <c r="AW46" i="9"/>
  <c r="AY46" i="9" s="1"/>
  <c r="AW43" i="9"/>
  <c r="AY43" i="9" s="1"/>
  <c r="AW42" i="9"/>
  <c r="AY42" i="9" s="1"/>
  <c r="AW33" i="9"/>
  <c r="AY33" i="9" s="1"/>
  <c r="AW54" i="9"/>
  <c r="AY54" i="9" s="1"/>
  <c r="AW91" i="9"/>
  <c r="AY91" i="9" s="1"/>
  <c r="AW31" i="9"/>
  <c r="AY31" i="9" s="1"/>
  <c r="AW70" i="9"/>
  <c r="AY70" i="9" s="1"/>
  <c r="AW57" i="9"/>
  <c r="AY57" i="9" s="1"/>
  <c r="AW89" i="9"/>
  <c r="AY89" i="9" s="1"/>
  <c r="AW68" i="9"/>
  <c r="AY68" i="9" s="1"/>
  <c r="AW69" i="9"/>
  <c r="AY69" i="9" s="1"/>
  <c r="AK52" i="9"/>
  <c r="AW52" i="9"/>
  <c r="AY52" i="9" s="1"/>
  <c r="AW53" i="9"/>
  <c r="AY53" i="9" s="1"/>
  <c r="AD8" i="9"/>
  <c r="AD9" i="9"/>
  <c r="AD10" i="9"/>
  <c r="AD11" i="9"/>
  <c r="AD12" i="9"/>
  <c r="AD13" i="9"/>
  <c r="AD14" i="9"/>
  <c r="AD15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7" i="9"/>
  <c r="AD39" i="9"/>
  <c r="AD40" i="9"/>
  <c r="AD41" i="9"/>
  <c r="AD42" i="9"/>
  <c r="AD43" i="9"/>
  <c r="AD44" i="9"/>
  <c r="AD45" i="9"/>
  <c r="AD46" i="9"/>
  <c r="AD47" i="9"/>
  <c r="AD48" i="9"/>
  <c r="AD51" i="9"/>
  <c r="AD52" i="9"/>
  <c r="AD53" i="9"/>
  <c r="AD54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1" i="9"/>
  <c r="AD92" i="9"/>
  <c r="AD93" i="9"/>
  <c r="AD94" i="9"/>
  <c r="AD95" i="9"/>
  <c r="AD96" i="9"/>
  <c r="AD97" i="9"/>
  <c r="AD98" i="9"/>
  <c r="AD99" i="9"/>
  <c r="AD102" i="9"/>
  <c r="AD103" i="9"/>
  <c r="AD104" i="9"/>
  <c r="AD7" i="9"/>
  <c r="AC9" i="9" l="1"/>
  <c r="AC10" i="9"/>
  <c r="AC11" i="9"/>
  <c r="AC13" i="9"/>
  <c r="AC14" i="9"/>
  <c r="AC15" i="9"/>
  <c r="AC17" i="9"/>
  <c r="AC18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7" i="9"/>
  <c r="AC42" i="9"/>
  <c r="AC43" i="9"/>
  <c r="AC44" i="9"/>
  <c r="AC51" i="9"/>
  <c r="AC52" i="9"/>
  <c r="AC53" i="9"/>
  <c r="AC54" i="9"/>
  <c r="AC56" i="9"/>
  <c r="AC57" i="9"/>
  <c r="AC58" i="9"/>
  <c r="AC59" i="9"/>
  <c r="AC61" i="9"/>
  <c r="AC62" i="9"/>
  <c r="AC63" i="9"/>
  <c r="AC64" i="9"/>
  <c r="AC65" i="9"/>
  <c r="AC66" i="9"/>
  <c r="AC67" i="9"/>
  <c r="AC68" i="9"/>
  <c r="AC69" i="9"/>
  <c r="AC70" i="9"/>
  <c r="AC72" i="9"/>
  <c r="AC73" i="9"/>
  <c r="AC74" i="9"/>
  <c r="AC75" i="9"/>
  <c r="AC76" i="9"/>
  <c r="AC77" i="9"/>
  <c r="AC78" i="9"/>
  <c r="AC86" i="9"/>
  <c r="AC87" i="9"/>
  <c r="AC88" i="9"/>
  <c r="AC89" i="9"/>
  <c r="AC91" i="9"/>
  <c r="AC92" i="9"/>
  <c r="AC93" i="9"/>
  <c r="AC94" i="9"/>
  <c r="AC95" i="9"/>
  <c r="AC96" i="9"/>
  <c r="AC97" i="9"/>
  <c r="AC98" i="9"/>
  <c r="AC99" i="9"/>
  <c r="AC102" i="9"/>
  <c r="AC103" i="9"/>
  <c r="AC104" i="9"/>
  <c r="AE37" i="9" l="1"/>
  <c r="AP37" i="9"/>
  <c r="AR37" i="9" s="1"/>
  <c r="AE78" i="9"/>
  <c r="AP78" i="9"/>
  <c r="AR78" i="9" s="1"/>
  <c r="AE44" i="9"/>
  <c r="AP44" i="9"/>
  <c r="AR44" i="9" s="1"/>
  <c r="AE79" i="9"/>
  <c r="AP79" i="9"/>
  <c r="AR79" i="9" s="1"/>
  <c r="AE23" i="9"/>
  <c r="AP23" i="9"/>
  <c r="AR23" i="9" s="1"/>
  <c r="AE74" i="9"/>
  <c r="AP74" i="9"/>
  <c r="AR74" i="9" s="1"/>
  <c r="AE22" i="9"/>
  <c r="AP22" i="9"/>
  <c r="AR22" i="9" s="1"/>
  <c r="AE102" i="9"/>
  <c r="AP102" i="9"/>
  <c r="AR102" i="9" s="1"/>
  <c r="AE73" i="9"/>
  <c r="AP73" i="9"/>
  <c r="AR73" i="9" s="1"/>
  <c r="AE76" i="9"/>
  <c r="AP76" i="9"/>
  <c r="AR76" i="9" s="1"/>
  <c r="AE72" i="9"/>
  <c r="AP72" i="9"/>
  <c r="AR72" i="9" s="1"/>
  <c r="AE24" i="9"/>
  <c r="AP24" i="9"/>
  <c r="AR24" i="9" s="1"/>
  <c r="AE87" i="9"/>
  <c r="AP87" i="9"/>
  <c r="AR87" i="9" s="1"/>
  <c r="AE18" i="9"/>
  <c r="AP18" i="9"/>
  <c r="AR18" i="9" s="1"/>
  <c r="AE13" i="9"/>
  <c r="AP13" i="9"/>
  <c r="AR13" i="9" s="1"/>
  <c r="AE67" i="9"/>
  <c r="AP67" i="9"/>
  <c r="AR67" i="9" s="1"/>
  <c r="AE66" i="9"/>
  <c r="AP66" i="9"/>
  <c r="AR66" i="9" s="1"/>
  <c r="AE65" i="9"/>
  <c r="AP65" i="9"/>
  <c r="AR65" i="9" s="1"/>
  <c r="AE75" i="9"/>
  <c r="AP75" i="9"/>
  <c r="AR75" i="9" s="1"/>
  <c r="AE43" i="9"/>
  <c r="AP43" i="9"/>
  <c r="AR43" i="9" s="1"/>
  <c r="AE42" i="9"/>
  <c r="AP42" i="9"/>
  <c r="AR42" i="9" s="1"/>
  <c r="AE33" i="9"/>
  <c r="AP33" i="9"/>
  <c r="AR33" i="9" s="1"/>
  <c r="AE54" i="9"/>
  <c r="AP54" i="9"/>
  <c r="AR54" i="9" s="1"/>
  <c r="AE91" i="9"/>
  <c r="AP91" i="9"/>
  <c r="AR91" i="9" s="1"/>
  <c r="AE86" i="9"/>
  <c r="AP86" i="9"/>
  <c r="AR86" i="9" s="1"/>
  <c r="AE26" i="9"/>
  <c r="AP26" i="9"/>
  <c r="AR26" i="9" s="1"/>
  <c r="AE28" i="9"/>
  <c r="AP28" i="9"/>
  <c r="AR28" i="9" s="1"/>
  <c r="AE25" i="9"/>
  <c r="AP25" i="9"/>
  <c r="AR25" i="9" s="1"/>
  <c r="AE27" i="9"/>
  <c r="AP27" i="9"/>
  <c r="AR27" i="9" s="1"/>
  <c r="AE30" i="9"/>
  <c r="AP30" i="9"/>
  <c r="AR30" i="9" s="1"/>
  <c r="AE77" i="9"/>
  <c r="AP77" i="9"/>
  <c r="AR77" i="9" s="1"/>
  <c r="AE94" i="9"/>
  <c r="AP94" i="9"/>
  <c r="AR94" i="9" s="1"/>
  <c r="AE15" i="9"/>
  <c r="AP15" i="9"/>
  <c r="AR15" i="9" s="1"/>
  <c r="AE14" i="9"/>
  <c r="AP14" i="9"/>
  <c r="AR14" i="9" s="1"/>
  <c r="AE58" i="9"/>
  <c r="AP58" i="9"/>
  <c r="AR58" i="9" s="1"/>
  <c r="AE31" i="9"/>
  <c r="AP31" i="9"/>
  <c r="AR31" i="9" s="1"/>
  <c r="AE93" i="9"/>
  <c r="AP93" i="9"/>
  <c r="AR93" i="9" s="1"/>
  <c r="AE92" i="9"/>
  <c r="AP92" i="9"/>
  <c r="AR92" i="9" s="1"/>
  <c r="AE88" i="9"/>
  <c r="AP88" i="9"/>
  <c r="AR88" i="9" s="1"/>
  <c r="AE84" i="9"/>
  <c r="AR84" i="9"/>
  <c r="AE53" i="9"/>
  <c r="AP53" i="9"/>
  <c r="AR53" i="9" s="1"/>
  <c r="AE32" i="9"/>
  <c r="AP32" i="9"/>
  <c r="AR32" i="9" s="1"/>
  <c r="AE29" i="9"/>
  <c r="AP29" i="9"/>
  <c r="AR29" i="9" s="1"/>
  <c r="AE12" i="9"/>
  <c r="AR12" i="9"/>
  <c r="AE11" i="9"/>
  <c r="AP11" i="9"/>
  <c r="AR11" i="9" s="1"/>
  <c r="AE10" i="9"/>
  <c r="AP10" i="9"/>
  <c r="AR10" i="9" s="1"/>
  <c r="AE9" i="9"/>
  <c r="AP9" i="9"/>
  <c r="AR9" i="9" s="1"/>
  <c r="AE51" i="9"/>
  <c r="AP51" i="9"/>
  <c r="AR51" i="9" s="1"/>
  <c r="AE98" i="9"/>
  <c r="AP98" i="9"/>
  <c r="AR98" i="9" s="1"/>
  <c r="AE97" i="9"/>
  <c r="AP97" i="9"/>
  <c r="AR97" i="9" s="1"/>
  <c r="AE96" i="9"/>
  <c r="AP96" i="9"/>
  <c r="AR96" i="9" s="1"/>
  <c r="AE95" i="9"/>
  <c r="AP95" i="9"/>
  <c r="AR95" i="9" s="1"/>
  <c r="AE99" i="9"/>
  <c r="AP99" i="9"/>
  <c r="AR99" i="9" s="1"/>
  <c r="AE70" i="9"/>
  <c r="AP70" i="9"/>
  <c r="AR70" i="9" s="1"/>
  <c r="AE56" i="9"/>
  <c r="AP56" i="9"/>
  <c r="AR56" i="9" s="1"/>
  <c r="AE57" i="9"/>
  <c r="AP57" i="9"/>
  <c r="AR57" i="9" s="1"/>
  <c r="AE89" i="9"/>
  <c r="AP89" i="9"/>
  <c r="AR89" i="9" s="1"/>
  <c r="AE34" i="9"/>
  <c r="AP34" i="9"/>
  <c r="AR34" i="9" s="1"/>
  <c r="AE69" i="9"/>
  <c r="AP69" i="9"/>
  <c r="AR69" i="9" s="1"/>
  <c r="AE68" i="9"/>
  <c r="AP68" i="9"/>
  <c r="AR68" i="9" s="1"/>
  <c r="AE52" i="9"/>
  <c r="AP52" i="9"/>
  <c r="AR52" i="9" s="1"/>
  <c r="AE21" i="9"/>
  <c r="AP21" i="9"/>
  <c r="AR21" i="9" s="1"/>
  <c r="AE17" i="9"/>
  <c r="AP17" i="9"/>
  <c r="AR17" i="9" s="1"/>
  <c r="AE64" i="9"/>
  <c r="AP64" i="9"/>
  <c r="AR64" i="9" s="1"/>
  <c r="AE63" i="9"/>
  <c r="AP63" i="9"/>
  <c r="AR63" i="9" s="1"/>
  <c r="AE62" i="9"/>
  <c r="AP62" i="9"/>
  <c r="AR62" i="9" s="1"/>
  <c r="AE61" i="9"/>
  <c r="AP61" i="9"/>
  <c r="AR61" i="9" s="1"/>
  <c r="AE59" i="9"/>
  <c r="AP59" i="9"/>
  <c r="AR59" i="9" s="1"/>
  <c r="AE103" i="9"/>
  <c r="AP103" i="9"/>
  <c r="AR103" i="9" s="1"/>
  <c r="AE104" i="9"/>
  <c r="AP104" i="9"/>
  <c r="AR104" i="9" s="1"/>
  <c r="AE8" i="9"/>
  <c r="AR8" i="9"/>
  <c r="AC45" i="9"/>
  <c r="AS25" i="9" l="1"/>
  <c r="AL8" i="9"/>
  <c r="AS8" i="9"/>
  <c r="AZ8" i="9"/>
  <c r="AL61" i="9"/>
  <c r="AZ61" i="9"/>
  <c r="AS61" i="9"/>
  <c r="AL17" i="9"/>
  <c r="AS17" i="9"/>
  <c r="AZ17" i="9"/>
  <c r="AL69" i="9"/>
  <c r="AS69" i="9"/>
  <c r="AZ69" i="9"/>
  <c r="AL56" i="9"/>
  <c r="AS56" i="9"/>
  <c r="AZ56" i="9"/>
  <c r="AL96" i="9"/>
  <c r="AS96" i="9"/>
  <c r="AZ96" i="9"/>
  <c r="AL98" i="9"/>
  <c r="AZ98" i="9"/>
  <c r="AS98" i="9"/>
  <c r="AL12" i="9"/>
  <c r="AS12" i="9"/>
  <c r="AZ12" i="9"/>
  <c r="AL32" i="9"/>
  <c r="AS32" i="9"/>
  <c r="AZ32" i="9"/>
  <c r="AL93" i="9"/>
  <c r="AZ93" i="9"/>
  <c r="AS93" i="9"/>
  <c r="AL58" i="9"/>
  <c r="AS58" i="9"/>
  <c r="AZ58" i="9"/>
  <c r="AL77" i="9"/>
  <c r="AS77" i="9"/>
  <c r="AZ77" i="9"/>
  <c r="AL28" i="9"/>
  <c r="AS28" i="9"/>
  <c r="AZ28" i="9"/>
  <c r="AL54" i="9"/>
  <c r="AS54" i="9"/>
  <c r="AZ54" i="9"/>
  <c r="AL75" i="9"/>
  <c r="AZ75" i="9"/>
  <c r="AS75" i="9"/>
  <c r="AL66" i="9"/>
  <c r="AS66" i="9"/>
  <c r="AZ66" i="9"/>
  <c r="AL87" i="9"/>
  <c r="AZ87" i="9"/>
  <c r="AS87" i="9"/>
  <c r="AL22" i="9"/>
  <c r="AZ22" i="9"/>
  <c r="AS22" i="9"/>
  <c r="AL79" i="9"/>
  <c r="AZ79" i="9"/>
  <c r="AS79" i="9"/>
  <c r="AL104" i="9"/>
  <c r="AS104" i="9"/>
  <c r="AZ104" i="9"/>
  <c r="AL52" i="9"/>
  <c r="AZ52" i="9"/>
  <c r="AS52" i="9"/>
  <c r="AL89" i="9"/>
  <c r="AS89" i="9"/>
  <c r="AZ89" i="9"/>
  <c r="AL99" i="9"/>
  <c r="AS99" i="9"/>
  <c r="AZ99" i="9"/>
  <c r="AL51" i="9"/>
  <c r="AZ51" i="9"/>
  <c r="AS51" i="9"/>
  <c r="AL10" i="9"/>
  <c r="AZ10" i="9"/>
  <c r="AS10" i="9"/>
  <c r="AL84" i="9"/>
  <c r="AS84" i="9"/>
  <c r="AZ84" i="9"/>
  <c r="AL88" i="9"/>
  <c r="AS88" i="9"/>
  <c r="AZ88" i="9"/>
  <c r="AL15" i="9"/>
  <c r="AZ15" i="9"/>
  <c r="AS15" i="9"/>
  <c r="AL27" i="9"/>
  <c r="AZ27" i="9"/>
  <c r="AS27" i="9"/>
  <c r="AL86" i="9"/>
  <c r="AZ86" i="9"/>
  <c r="AS86" i="9"/>
  <c r="AL42" i="9"/>
  <c r="AZ42" i="9"/>
  <c r="AS42" i="9"/>
  <c r="AL13" i="9"/>
  <c r="AS13" i="9"/>
  <c r="AZ13" i="9"/>
  <c r="AL72" i="9"/>
  <c r="AS72" i="9"/>
  <c r="AZ72" i="9"/>
  <c r="AL73" i="9"/>
  <c r="AS73" i="9"/>
  <c r="AZ73" i="9"/>
  <c r="AL74" i="9"/>
  <c r="AZ74" i="9"/>
  <c r="AS74" i="9"/>
  <c r="AL78" i="9"/>
  <c r="AS78" i="9"/>
  <c r="AZ78" i="9"/>
  <c r="AL103" i="9"/>
  <c r="AZ103" i="9"/>
  <c r="AS103" i="9"/>
  <c r="AL59" i="9"/>
  <c r="AS59" i="9"/>
  <c r="AZ59" i="9"/>
  <c r="AL62" i="9"/>
  <c r="AS62" i="9"/>
  <c r="AZ62" i="9"/>
  <c r="AL63" i="9"/>
  <c r="AZ63" i="9"/>
  <c r="AS63" i="9"/>
  <c r="AL64" i="9"/>
  <c r="AS64" i="9"/>
  <c r="AZ64" i="9"/>
  <c r="AL21" i="9"/>
  <c r="AS21" i="9"/>
  <c r="AZ21" i="9"/>
  <c r="AL68" i="9"/>
  <c r="AS68" i="9"/>
  <c r="AZ68" i="9"/>
  <c r="AL34" i="9"/>
  <c r="AZ34" i="9"/>
  <c r="AS34" i="9"/>
  <c r="AL57" i="9"/>
  <c r="AZ57" i="9"/>
  <c r="AS57" i="9"/>
  <c r="AL70" i="9"/>
  <c r="AZ70" i="9"/>
  <c r="AS70" i="9"/>
  <c r="AL95" i="9"/>
  <c r="AS95" i="9"/>
  <c r="AZ95" i="9"/>
  <c r="AL97" i="9"/>
  <c r="AZ97" i="9"/>
  <c r="AS97" i="9"/>
  <c r="AL9" i="9"/>
  <c r="AS9" i="9"/>
  <c r="AZ9" i="9"/>
  <c r="AL11" i="9"/>
  <c r="AZ11" i="9"/>
  <c r="AS11" i="9"/>
  <c r="AL29" i="9"/>
  <c r="AS29" i="9"/>
  <c r="AZ29" i="9"/>
  <c r="AL53" i="9"/>
  <c r="AS53" i="9"/>
  <c r="AZ53" i="9"/>
  <c r="AL85" i="9"/>
  <c r="AS85" i="9"/>
  <c r="AZ85" i="9"/>
  <c r="AL92" i="9"/>
  <c r="AS92" i="9"/>
  <c r="AZ92" i="9"/>
  <c r="AL31" i="9"/>
  <c r="AZ31" i="9"/>
  <c r="AS31" i="9"/>
  <c r="AL14" i="9"/>
  <c r="AS14" i="9"/>
  <c r="AZ14" i="9"/>
  <c r="AL94" i="9"/>
  <c r="AZ94" i="9"/>
  <c r="AS94" i="9"/>
  <c r="AL30" i="9"/>
  <c r="AS30" i="9"/>
  <c r="AZ30" i="9"/>
  <c r="AL25" i="9"/>
  <c r="AZ25" i="9"/>
  <c r="AL26" i="9"/>
  <c r="AS26" i="9"/>
  <c r="AZ26" i="9"/>
  <c r="AL91" i="9"/>
  <c r="AS91" i="9"/>
  <c r="AZ91" i="9"/>
  <c r="AL33" i="9"/>
  <c r="AS33" i="9"/>
  <c r="AZ33" i="9"/>
  <c r="AL43" i="9"/>
  <c r="AS43" i="9"/>
  <c r="AZ43" i="9"/>
  <c r="AL65" i="9"/>
  <c r="AS65" i="9"/>
  <c r="AZ65" i="9"/>
  <c r="AL67" i="9"/>
  <c r="AZ67" i="9"/>
  <c r="AS67" i="9"/>
  <c r="AL18" i="9"/>
  <c r="AS18" i="9"/>
  <c r="AZ18" i="9"/>
  <c r="AL24" i="9"/>
  <c r="AS24" i="9"/>
  <c r="AZ24" i="9"/>
  <c r="AL76" i="9"/>
  <c r="AS76" i="9"/>
  <c r="AZ76" i="9"/>
  <c r="AL102" i="9"/>
  <c r="AS102" i="9"/>
  <c r="AZ102" i="9"/>
  <c r="AL23" i="9"/>
  <c r="AZ23" i="9"/>
  <c r="AS23" i="9"/>
  <c r="AL44" i="9"/>
  <c r="AS44" i="9"/>
  <c r="AZ44" i="9"/>
  <c r="AL37" i="9"/>
  <c r="AZ37" i="9"/>
  <c r="AS37" i="9"/>
  <c r="AE45" i="9"/>
  <c r="AP45" i="9"/>
  <c r="AR45" i="9" s="1"/>
  <c r="AC80" i="9"/>
  <c r="AC20" i="9"/>
  <c r="AC19" i="9"/>
  <c r="AC82" i="9"/>
  <c r="AC40" i="9"/>
  <c r="AC39" i="9"/>
  <c r="AC48" i="9"/>
  <c r="AC46" i="9"/>
  <c r="AC47" i="9"/>
  <c r="AC81" i="9"/>
  <c r="AC83" i="9"/>
  <c r="AC41" i="9"/>
  <c r="AC71" i="9"/>
  <c r="AL45" i="9" l="1"/>
  <c r="AZ45" i="9"/>
  <c r="AS45" i="9"/>
  <c r="AE39" i="9"/>
  <c r="AP39" i="9"/>
  <c r="AR39" i="9" s="1"/>
  <c r="AE71" i="9"/>
  <c r="AP71" i="9"/>
  <c r="AR71" i="9" s="1"/>
  <c r="AE40" i="9"/>
  <c r="AP40" i="9"/>
  <c r="AR40" i="9" s="1"/>
  <c r="AE41" i="9"/>
  <c r="AP41" i="9"/>
  <c r="AR41" i="9" s="1"/>
  <c r="AE46" i="9"/>
  <c r="AP46" i="9"/>
  <c r="AR46" i="9" s="1"/>
  <c r="AE82" i="9"/>
  <c r="AP82" i="9"/>
  <c r="AR82" i="9" s="1"/>
  <c r="AE81" i="9"/>
  <c r="AP81" i="9"/>
  <c r="AR81" i="9" s="1"/>
  <c r="AE20" i="9"/>
  <c r="AP20" i="9"/>
  <c r="AR20" i="9" s="1"/>
  <c r="AE47" i="9"/>
  <c r="AP47" i="9"/>
  <c r="AR47" i="9" s="1"/>
  <c r="AE80" i="9"/>
  <c r="AP80" i="9"/>
  <c r="AR80" i="9" s="1"/>
  <c r="AE83" i="9"/>
  <c r="AP83" i="9"/>
  <c r="AR83" i="9" s="1"/>
  <c r="AE48" i="9"/>
  <c r="AP48" i="9"/>
  <c r="AR48" i="9" s="1"/>
  <c r="AE19" i="9"/>
  <c r="AP19" i="9"/>
  <c r="AR19" i="9" s="1"/>
  <c r="AL19" i="9" l="1"/>
  <c r="AZ19" i="9"/>
  <c r="AS19" i="9"/>
  <c r="AL83" i="9"/>
  <c r="AZ83" i="9"/>
  <c r="AS83" i="9"/>
  <c r="AL47" i="9"/>
  <c r="AS47" i="9"/>
  <c r="AZ47" i="9"/>
  <c r="AL81" i="9"/>
  <c r="AS81" i="9"/>
  <c r="AZ81" i="9"/>
  <c r="AL46" i="9"/>
  <c r="AZ46" i="9"/>
  <c r="AS46" i="9"/>
  <c r="AL40" i="9"/>
  <c r="AS40" i="9"/>
  <c r="AZ40" i="9"/>
  <c r="AL39" i="9"/>
  <c r="AS39" i="9"/>
  <c r="AZ39" i="9"/>
  <c r="AL48" i="9"/>
  <c r="AS48" i="9"/>
  <c r="AZ48" i="9"/>
  <c r="AL80" i="9"/>
  <c r="AS80" i="9"/>
  <c r="AZ80" i="9"/>
  <c r="AL20" i="9"/>
  <c r="AZ20" i="9"/>
  <c r="AS20" i="9"/>
  <c r="AL82" i="9"/>
  <c r="AZ82" i="9"/>
  <c r="AS82" i="9"/>
  <c r="AL41" i="9"/>
  <c r="AS41" i="9"/>
  <c r="AZ41" i="9"/>
  <c r="AL71" i="9"/>
  <c r="AZ71" i="9"/>
  <c r="AS71" i="9"/>
  <c r="T113" i="9"/>
  <c r="S113" i="9"/>
  <c r="T115" i="9" l="1"/>
  <c r="S115" i="9"/>
  <c r="U113" i="9"/>
  <c r="U115" i="9" l="1"/>
  <c r="T114" i="9"/>
  <c r="S114" i="9"/>
  <c r="U116" i="9" l="1"/>
  <c r="U114" i="9"/>
  <c r="U110" i="9" l="1"/>
  <c r="V110" i="9" s="1"/>
  <c r="T117" i="9"/>
  <c r="S117" i="9"/>
  <c r="V116" i="9"/>
  <c r="V115" i="9"/>
  <c r="V114" i="9"/>
  <c r="T111" i="9"/>
  <c r="U111" i="9" s="1"/>
  <c r="V111" i="9" s="1"/>
  <c r="U112" i="9" l="1"/>
  <c r="V112" i="9" s="1"/>
  <c r="U117" i="9"/>
  <c r="V117" i="9" s="1"/>
  <c r="T119" i="9"/>
  <c r="S119" i="9"/>
  <c r="V119" i="9" l="1"/>
  <c r="AC7" i="9" s="1"/>
  <c r="U119" i="9"/>
  <c r="AP7" i="9" l="1"/>
  <c r="AR7" i="9" s="1"/>
  <c r="AE7" i="9"/>
  <c r="AS7" i="9" l="1"/>
  <c r="AL7" i="9"/>
  <c r="AZ7" i="9"/>
</calcChain>
</file>

<file path=xl/sharedStrings.xml><?xml version="1.0" encoding="utf-8"?>
<sst xmlns="http://schemas.openxmlformats.org/spreadsheetml/2006/main" count="1414" uniqueCount="472">
  <si>
    <t>OOMRSC-05</t>
  </si>
  <si>
    <t>Cuadro de Control de Desempeño de Procesos</t>
  </si>
  <si>
    <t>Mes/año:</t>
  </si>
  <si>
    <t>No.</t>
  </si>
  <si>
    <t>Proceso:</t>
  </si>
  <si>
    <t>Dirección:</t>
  </si>
  <si>
    <t>Área:</t>
  </si>
  <si>
    <t>#</t>
  </si>
  <si>
    <t>Indicador o Índice:</t>
  </si>
  <si>
    <t>Periodicidad</t>
  </si>
  <si>
    <t>Unidad de Medida</t>
  </si>
  <si>
    <t>Meta Anual</t>
  </si>
  <si>
    <t>Meta</t>
  </si>
  <si>
    <t>Impacto</t>
  </si>
  <si>
    <t>Cumple:
Sí/No</t>
  </si>
  <si>
    <t>Cumplimiento</t>
  </si>
  <si>
    <t>Observación:</t>
  </si>
  <si>
    <t>Acción:</t>
  </si>
  <si>
    <t>Responsable:</t>
  </si>
  <si>
    <t>META 1ER TRIM</t>
  </si>
  <si>
    <t>1ER PEM</t>
  </si>
  <si>
    <t>META ACUM 2DO TRIM</t>
  </si>
  <si>
    <t>2DO PEM</t>
  </si>
  <si>
    <t>2DO PEM ACUM</t>
  </si>
  <si>
    <t>META ACUM 3ER TRIM</t>
  </si>
  <si>
    <t>3ER PEM</t>
  </si>
  <si>
    <t>3ER PEM ACUM</t>
  </si>
  <si>
    <t>META ACUM 4TO TRIM</t>
  </si>
  <si>
    <t>4TO PEM</t>
  </si>
  <si>
    <t>4TO PEM ACUM</t>
  </si>
  <si>
    <t>1er Trim.</t>
  </si>
  <si>
    <t>2do Trim.</t>
  </si>
  <si>
    <t>3er Trim.</t>
  </si>
  <si>
    <t>4to Trim.</t>
  </si>
  <si>
    <t>Bajo</t>
  </si>
  <si>
    <t>Alto</t>
  </si>
  <si>
    <t>c</t>
  </si>
  <si>
    <t>ac</t>
  </si>
  <si>
    <t>snc</t>
  </si>
  <si>
    <t>Enero</t>
  </si>
  <si>
    <t>Febrero</t>
  </si>
  <si>
    <t>Marzo</t>
  </si>
  <si>
    <t>1er Trimestre</t>
  </si>
  <si>
    <t>Abril</t>
  </si>
  <si>
    <t>Mayo</t>
  </si>
  <si>
    <t>Junio</t>
  </si>
  <si>
    <t>2do Trimestre</t>
  </si>
  <si>
    <t>Julio</t>
  </si>
  <si>
    <t>Agosto</t>
  </si>
  <si>
    <t>Septiembre</t>
  </si>
  <si>
    <t>3er Trimestre</t>
  </si>
  <si>
    <t>Octubre</t>
  </si>
  <si>
    <t>Noviembre</t>
  </si>
  <si>
    <t>Diciembre</t>
  </si>
  <si>
    <t>4TO Trimestre</t>
  </si>
  <si>
    <t>Responsabilidad de la Dirección</t>
  </si>
  <si>
    <t>General</t>
  </si>
  <si>
    <t>Sistema de Gestión de Calidad</t>
  </si>
  <si>
    <t>Lograr el grado de eficacia del SGC determinado por auditorías e indicadores.</t>
  </si>
  <si>
    <t>Mensual</t>
  </si>
  <si>
    <t>Porcentaje</t>
  </si>
  <si>
    <t>n/a</t>
  </si>
  <si>
    <t>NA</t>
  </si>
  <si>
    <t>Dirección General</t>
  </si>
  <si>
    <t>Cumplir con las metas establecidas por las direcciones adscritas a la Dirección General</t>
  </si>
  <si>
    <t>Trimestral</t>
  </si>
  <si>
    <t>X</t>
  </si>
  <si>
    <t>Mantener una relación de comunicación con el Consejo Consultivo.</t>
  </si>
  <si>
    <t>Actas</t>
  </si>
  <si>
    <t>Gestión de Recursos</t>
  </si>
  <si>
    <t>Administrativa</t>
  </si>
  <si>
    <t>Recursos Humanos</t>
  </si>
  <si>
    <t>Remuneración del personal.</t>
  </si>
  <si>
    <t>Cantidad</t>
  </si>
  <si>
    <t>Remuneración a jubilados y pensionados</t>
  </si>
  <si>
    <t>Cumplir con el programa  trimestral de capacitación.</t>
  </si>
  <si>
    <t>Evaluación del ambiente de trabajo.</t>
  </si>
  <si>
    <t>Recursos Materiales</t>
  </si>
  <si>
    <t>Evaluar el desempeño de proveedores de productos químicos críticos</t>
  </si>
  <si>
    <t xml:space="preserve"> Atender las solicitudes de compra en el tiempo establecido.</t>
  </si>
  <si>
    <t>Contabilidad</t>
  </si>
  <si>
    <t>Cumplir con el calendario contable y presupuestal.</t>
  </si>
  <si>
    <t>Documentos</t>
  </si>
  <si>
    <t>Seguridad Industrial</t>
  </si>
  <si>
    <t>Accidentes de trabajo</t>
  </si>
  <si>
    <t>Licitaciones</t>
  </si>
  <si>
    <t>Cumplir con el proceso de licitación pública o simplificada</t>
  </si>
  <si>
    <t>Cumplir con el proceso de adjudicación directa.</t>
  </si>
  <si>
    <t>Técnica</t>
  </si>
  <si>
    <t>Trámites Técnicos</t>
  </si>
  <si>
    <t>Índice de programas federales gestionados</t>
  </si>
  <si>
    <t>Semestral</t>
  </si>
  <si>
    <t>Programa</t>
  </si>
  <si>
    <t>Mantenimiento y Calibración</t>
  </si>
  <si>
    <t>Informática</t>
  </si>
  <si>
    <t>Cumplir con el programa de mantenimiento preventivo de los equipos de cómputo.</t>
  </si>
  <si>
    <t>Solucionar las solicitudes de servicio.</t>
  </si>
  <si>
    <t>Asegurar la disponibilidad de los servicios críticos de informática.</t>
  </si>
  <si>
    <t>Revisión de instalaciones</t>
  </si>
  <si>
    <t>Mtto. y servicios generales</t>
  </si>
  <si>
    <t>Cumplimiento al programa anual de mantenimiento preventivo a edificios.</t>
  </si>
  <si>
    <t>Cumplimiento al programa anual de mantenimiento preventivo para vehículos de transporte</t>
  </si>
  <si>
    <t>Cumplimiento al abastecimiento de las dotaciones de gasolina autorizadas.</t>
  </si>
  <si>
    <t>Reportes</t>
  </si>
  <si>
    <t>Cumplimiento a las solicitudes de mantenimiento correctivo para vehículos de transporte</t>
  </si>
  <si>
    <t>Cumplimiento al programa anual de intendencia</t>
  </si>
  <si>
    <t>Registros</t>
  </si>
  <si>
    <r>
      <rPr>
        <sz val="12"/>
        <rFont val="Arial"/>
        <family val="2"/>
      </rPr>
      <t>Mantenimiento de</t>
    </r>
    <r>
      <rPr>
        <sz val="12"/>
        <color theme="1"/>
        <rFont val="Arial"/>
        <family val="2"/>
      </rPr>
      <t xml:space="preserve"> Redes</t>
    </r>
  </si>
  <si>
    <t>Atender los reportes de los usuarios de la ciudad.</t>
  </si>
  <si>
    <t>Control de Calidad</t>
  </si>
  <si>
    <t>Cumplir con programa de calibración y verificación de equipos de medición.</t>
  </si>
  <si>
    <t>Calibraciones y/o Verificaciones</t>
  </si>
  <si>
    <t>Plantas Potabilizadoras</t>
  </si>
  <si>
    <t>Índice de cumplimiento de los programas de mantenimiento a instalaciones y mantenimiento electromecánico preventivo y correctivo</t>
  </si>
  <si>
    <t>Alcantarillado y Saneamiento</t>
  </si>
  <si>
    <t>Programa de mantenimiento de redes sanitaria</t>
  </si>
  <si>
    <t>Suburbano Técnico</t>
  </si>
  <si>
    <t>Cumplir con el programa anual de mantenimiento preventivo a equipos de cloración y dosificación</t>
  </si>
  <si>
    <t>Comercialización</t>
  </si>
  <si>
    <t>Comercial</t>
  </si>
  <si>
    <t>Padrón de Usuarios</t>
  </si>
  <si>
    <t>Cumplir con el programa de mantenimiento anual de padrón de usuarios.</t>
  </si>
  <si>
    <t>Visitas</t>
  </si>
  <si>
    <t>Cobertura de Agua Potable</t>
  </si>
  <si>
    <t>Control y Servicios</t>
  </si>
  <si>
    <t>Recaudación por visitas efectivas.</t>
  </si>
  <si>
    <t>Pesos</t>
  </si>
  <si>
    <t>Recaudación por cobranza especial.</t>
  </si>
  <si>
    <t>Verificación y Lectura</t>
  </si>
  <si>
    <t>Cumplir con el calendario mensual de facturación.</t>
  </si>
  <si>
    <t>Sectores</t>
  </si>
  <si>
    <t>Porcentaje de error en toma de lectura.</t>
  </si>
  <si>
    <t>Cobertura de Micromedición en área urbana</t>
  </si>
  <si>
    <t>Agencia Providencia</t>
  </si>
  <si>
    <t>Cumplir con el presupuesto de ingresos en la gerencia Providencia.</t>
  </si>
  <si>
    <t>Agencia Esperanza</t>
  </si>
  <si>
    <t>Cumplir con el presupuesto de ingresos en la gerencia Esperanza</t>
  </si>
  <si>
    <t>Agencia Pueblo Yaqui</t>
  </si>
  <si>
    <t>Cumplir con el presupuesto de ingresos en la gerencia Pueblo Yaqui.</t>
  </si>
  <si>
    <t>Agencia Marte R. Gómez</t>
  </si>
  <si>
    <t>Cumplir con el presupuesto de ingresos en la gerencia Marte R. Gomez.</t>
  </si>
  <si>
    <t>Dirección Comercial</t>
  </si>
  <si>
    <t>Cumplir con el presupuesto programado de ingresos.</t>
  </si>
  <si>
    <t>Eficiencia comercial</t>
  </si>
  <si>
    <t>Eficiencia comercial de rezago</t>
  </si>
  <si>
    <t>Programas Sociales</t>
  </si>
  <si>
    <t xml:space="preserve">Trabajo Social </t>
  </si>
  <si>
    <t>Atender las órdenes de trabajo en un lapso de 7 días hábiles</t>
  </si>
  <si>
    <t>Producción</t>
  </si>
  <si>
    <t>Cumplimiento a NOM-127-SSA1-2021 aplicable a control de calidad.</t>
  </si>
  <si>
    <t>Muestreos</t>
  </si>
  <si>
    <t>Índice de cumplimiento en muestreos y análisis de agua potable.</t>
  </si>
  <si>
    <t>Informes</t>
  </si>
  <si>
    <t>Producción de agua en plantas potabilizadoras y pozos de área urbana</t>
  </si>
  <si>
    <t>M3</t>
  </si>
  <si>
    <t>Índice de cobertura de macromedición</t>
  </si>
  <si>
    <t>Índice de agua residual tratada.</t>
  </si>
  <si>
    <t xml:space="preserve">                   </t>
  </si>
  <si>
    <t>Programa de muestreo y análisis de aguas residuales</t>
  </si>
  <si>
    <t>Cumplir con el volumen de agua potabilizada.</t>
  </si>
  <si>
    <t>Medición, Análisis y Mejora</t>
  </si>
  <si>
    <t>Órgano de Control de Interno</t>
  </si>
  <si>
    <t>Órgano de Control Interno</t>
  </si>
  <si>
    <t>Realizar en el ejercicio fiscal una auditoría programada mensual.</t>
  </si>
  <si>
    <t>Informe</t>
  </si>
  <si>
    <t>Revisar el seguimiento y control del recurso federalizado en el ejercicio fiscal.</t>
  </si>
  <si>
    <t>Atender las solicitudes de intervención especiales y no programadas.</t>
  </si>
  <si>
    <t>Atender y dar seguimiento a las observaciones de los sujetos fiscalizadores.</t>
  </si>
  <si>
    <t>Atender al personal que acuda al OCI a asesorías.</t>
  </si>
  <si>
    <t>Atender a los usuarios que interpongan quejas y denuncias en contra del servicio o cualquier servidor público.</t>
  </si>
  <si>
    <t>Cumplir en los cierres de planes de acción de Matriz de Riesgos</t>
  </si>
  <si>
    <t>Estado de acciones y mejoras.</t>
  </si>
  <si>
    <t>Lograr el grado de eficacia derivado de las auditorías internas</t>
  </si>
  <si>
    <t>Bimestral</t>
  </si>
  <si>
    <t>Línea OOMAPASC</t>
  </si>
  <si>
    <t>Atender las llamadas o mensajes de solicitud de usuarios.</t>
  </si>
  <si>
    <t>Medir la satisfacción del cliente en atención recibida.</t>
  </si>
  <si>
    <t>Contratos y Servicios</t>
  </si>
  <si>
    <t>Cumplir con la satisfacción del cliente por la atención brindada.</t>
  </si>
  <si>
    <t>Cumplir en las encuestas de satisfacción al usuario externo en los servicios proporcionados  por el supervisor.</t>
  </si>
  <si>
    <t>Atención Ciudadana</t>
  </si>
  <si>
    <t>Medir la eficiencia y el tiempo de respuesta establecido en 7 días hábiles a partir de la recepción del folio emitido por el H. Ayuntamiento de Cajeme.</t>
  </si>
  <si>
    <t>Cumplir con la satisfacción del cliente por el servicio proporcionado</t>
  </si>
  <si>
    <t xml:space="preserve">Cumplir con la satisfacción de los usuarios por reconexiones </t>
  </si>
  <si>
    <t>Jurídico</t>
  </si>
  <si>
    <t>Transparencia</t>
  </si>
  <si>
    <t>Atender en tiempo y forma las solicitudes de información aplicables al área.</t>
  </si>
  <si>
    <t>Indicador de cumplimiento página de transparencia.</t>
  </si>
  <si>
    <t>Coord. Jurídico</t>
  </si>
  <si>
    <t>Índice de atención por asesorías.</t>
  </si>
  <si>
    <t>Notificar a todas las áreas las actualizaciones que se presenten mensualmente en los documentos externos declarados.</t>
  </si>
  <si>
    <t>Cumplir con la elaboración de solicitudes de contrato solicitados por la gerencia de licitaciones de conformidad al procedimiento OOMPJU-07.</t>
  </si>
  <si>
    <t>Índice de juntas de gobierno.</t>
  </si>
  <si>
    <t>Direccion Administrativa</t>
  </si>
  <si>
    <t>Índice de eficiencia administrativa.</t>
  </si>
  <si>
    <t>Sistema de gestión por comparación cuestionario único de información básica.</t>
  </si>
  <si>
    <t>Anual</t>
  </si>
  <si>
    <t>Cumplimiento de la satisfacción del cliente.</t>
  </si>
  <si>
    <t>N/A</t>
  </si>
  <si>
    <t>Satisfacción del cliente</t>
  </si>
  <si>
    <t>Cumplir con las auditorías para la acreditación de la NMX-EC-17025-IMNC-2018 y/o ISO/IEC 17025:2017.</t>
  </si>
  <si>
    <t>Índice de cumplimiento de reportes atendidos</t>
  </si>
  <si>
    <t>Cumplimiento del programa de inspecciones</t>
  </si>
  <si>
    <t>Atención a reportes suburbanos</t>
  </si>
  <si>
    <t>Proyectos e Infraestructura</t>
  </si>
  <si>
    <t>Subdirección de Operación y Mantenimiento</t>
  </si>
  <si>
    <t>Índice de cumplimiento en los indicadores de las gerencias de la Subdirección de Operación y Mantenimiento.</t>
  </si>
  <si>
    <t>Subdirección de Proyectos e Infraestructura</t>
  </si>
  <si>
    <t>Índice de cumplimiento en los indicadores de las gerencias de la Subdirección de Proyectos e Infraestructura.</t>
  </si>
  <si>
    <t>Supervisión de Obras</t>
  </si>
  <si>
    <t>Cumplir con tiempo, costo y calidad definidos en la supervisión de obras según proyecto autorizado</t>
  </si>
  <si>
    <t>Elaboración de prefactibilidades</t>
  </si>
  <si>
    <t>Aprobación de proyectos de agua potable y/o alcantarillado sanitario</t>
  </si>
  <si>
    <t>Elaboración de proyectos de agua potable y/o alcantarillado sanitario</t>
  </si>
  <si>
    <t>Elaboración de viabilidad comercial e industrial</t>
  </si>
  <si>
    <t>Sectorización Hidrométrica e Innovación</t>
  </si>
  <si>
    <t>Elaboración de proyectos para mejoramiento de la eficiencia</t>
  </si>
  <si>
    <t>Detecciones de infraestructura subterránea.</t>
  </si>
  <si>
    <t>Índice de cumplimiento de tiempo para cálculo de Derechos de Conexión.</t>
  </si>
  <si>
    <t>Comunicación</t>
  </si>
  <si>
    <t>Cumplir al 90% con los parámetros de comunicación interna.</t>
  </si>
  <si>
    <t>Canalizar y dar seguimiento a los reportes que se publican en los medios de comunicación.</t>
  </si>
  <si>
    <t>Cumplir con los diseños requeridos por el OOMAPAS de Cajeme.</t>
  </si>
  <si>
    <t>.</t>
  </si>
  <si>
    <t>Boletines oficiales elaborados.</t>
  </si>
  <si>
    <t>Notas del Registro:</t>
  </si>
  <si>
    <t>% DE MEDICIÓN DE LA EFICIENCIA DE INDICADORES DEL S.G.C POR PROCESO</t>
  </si>
  <si>
    <t>MEDICION DE LA EFICIENCIA DE INDICADORES DEL S.G.C.</t>
  </si>
  <si>
    <t>PROCESO:</t>
  </si>
  <si>
    <t>*SCI</t>
  </si>
  <si>
    <t>**NCI</t>
  </si>
  <si>
    <t>TOTAL:</t>
  </si>
  <si>
    <t>PORCENTAJE: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</si>
  <si>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.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SNC= Salida de Proceso No Conforme, C= Corrección, AC= Acción Correctiva</t>
    </r>
  </si>
  <si>
    <r>
      <t xml:space="preserve">Aceptable </t>
    </r>
    <r>
      <rPr>
        <b/>
        <sz val="10"/>
        <rFont val="Arial"/>
        <family val="2"/>
      </rPr>
      <t>90 a 100%</t>
    </r>
  </si>
  <si>
    <t xml:space="preserve">1. Responsabilidad de la Dirección: </t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</si>
  <si>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>. En el incumplimiento de un indicador de bajo impacto se abre una C= Corrección.</t>
    </r>
  </si>
  <si>
    <t xml:space="preserve">2. Gestión de Recursos: </t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</si>
  <si>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>. En el Incumplimiento de un indicador de alto impacto se abre una AC= Acción Correctiva</t>
    </r>
  </si>
  <si>
    <t>3. Mantenimiento y calibración:</t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</si>
  <si>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>. En caso de incumplimiento de parámetros de normas de Control de Calidad en la</t>
    </r>
  </si>
  <si>
    <t xml:space="preserve">4. Comercialización: </t>
  </si>
  <si>
    <t>producción, se identifica y da seguimiento como SNC= Salida de Proceso No Conforme.</t>
  </si>
  <si>
    <t>*</t>
  </si>
  <si>
    <t>SI CUMPLIÓ INDICADOR</t>
  </si>
  <si>
    <t xml:space="preserve">5. Producción: </t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</si>
  <si>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>. Los impactos de los Indicadores son definidos de la siguiente manera:</t>
    </r>
  </si>
  <si>
    <t>**</t>
  </si>
  <si>
    <t>NO CUMPLIÓ INDICADOR</t>
  </si>
  <si>
    <t xml:space="preserve">6. Medición Análisis y Mejora: </t>
  </si>
  <si>
    <t>Alto Impacto cuando afecta directamente a la potabilización del agua y servicios.</t>
  </si>
  <si>
    <t xml:space="preserve">7. Proyectos e Infraestructura: </t>
  </si>
  <si>
    <t>Bajo Impacto cuando es indirecto a la potabilización del agua y servicios.</t>
  </si>
  <si>
    <t>8.Comunicación:</t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</si>
  <si>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>. En el incumplimiento de 3 veces continuas a un indicador de bajo impacto, se abre AC=Acción Correctiva</t>
    </r>
  </si>
  <si>
    <t>% de la eficiencia de indicadores de los procesos del S.G.C.</t>
  </si>
  <si>
    <r>
      <rPr>
        <b/>
        <sz val="11"/>
        <color theme="1"/>
        <rFont val="Arial"/>
        <family val="2"/>
      </rPr>
      <t>Nota</t>
    </r>
    <r>
      <rPr>
        <sz val="11"/>
        <color theme="1"/>
        <rFont val="Arial"/>
        <family val="2"/>
      </rPr>
      <t>: Los responsables de área seran los encargados de abrir las acciones correspondientes y/o justificación en caso de causas ajenas.</t>
    </r>
  </si>
  <si>
    <t>Cultura del Agua</t>
  </si>
  <si>
    <t>Comunicación e Imagen Institucional</t>
  </si>
  <si>
    <t>Cumplir con el programa anual de pláticas y actividades de cultura del agua.</t>
  </si>
  <si>
    <t>Cumplir con el programa de verificación de activos fijos</t>
  </si>
  <si>
    <t>Cumplir con el programa anual de mantenimiento preventivo y toma de parámetros eléctricos y mecánicos</t>
  </si>
  <si>
    <r>
      <t xml:space="preserve">Preventivo </t>
    </r>
    <r>
      <rPr>
        <b/>
        <sz val="10"/>
        <rFont val="Arial"/>
        <family val="2"/>
      </rPr>
      <t>80 a 89%</t>
    </r>
  </si>
  <si>
    <r>
      <t xml:space="preserve">Crítico </t>
    </r>
    <r>
      <rPr>
        <b/>
        <sz val="11"/>
        <color theme="1"/>
        <rFont val="Calibri"/>
        <family val="2"/>
        <scheme val="minor"/>
      </rPr>
      <t>menor o igual a 79%</t>
    </r>
  </si>
  <si>
    <t>Se cumplió con el calendario mensual de facturación.</t>
  </si>
  <si>
    <t>Angélica Meraz</t>
  </si>
  <si>
    <t>Cumplir con tiempo, costo y calidad definidos en la supervisión de obras.</t>
  </si>
  <si>
    <t>Elaboración de proyectos para el mejoramiento de la eficiencia física y/o energética</t>
  </si>
  <si>
    <t>Cumplir con el programa anual de mantenimiento preventivo y toma de parámetros eléctrico y mecánicos</t>
  </si>
  <si>
    <t>Índice de atención a reportes suburbanos.</t>
  </si>
  <si>
    <t>LLENAR LO QUE ESTÁ EN AMARILLO</t>
  </si>
  <si>
    <t xml:space="preserve"> Resultado Indicador Mensual</t>
  </si>
  <si>
    <t>LLENAR LO QUE ESTA EN AMARILLO</t>
  </si>
  <si>
    <t>Resultado de Indicadores (OP 12)</t>
  </si>
  <si>
    <t>Programada</t>
  </si>
  <si>
    <t>Real</t>
  </si>
  <si>
    <t>RC 4/2023</t>
  </si>
  <si>
    <t>OCI</t>
  </si>
  <si>
    <t>CERRADA</t>
  </si>
  <si>
    <t>RC 8, 9/2023</t>
  </si>
  <si>
    <t>SGC</t>
  </si>
  <si>
    <t>RC 01</t>
  </si>
  <si>
    <t>MIGUEL</t>
  </si>
  <si>
    <t>RC 02</t>
  </si>
  <si>
    <t>HECTOR</t>
  </si>
  <si>
    <t>RC 03</t>
  </si>
  <si>
    <t>RC 04</t>
  </si>
  <si>
    <t>RC 05</t>
  </si>
  <si>
    <t>RC 06</t>
  </si>
  <si>
    <t>PADRÓN</t>
  </si>
  <si>
    <t>RC 07</t>
  </si>
  <si>
    <t>RC 08</t>
  </si>
  <si>
    <t>RC 09</t>
  </si>
  <si>
    <t>EVELYN</t>
  </si>
  <si>
    <t>ALFREDO</t>
  </si>
  <si>
    <t>ABIERTA</t>
  </si>
  <si>
    <t>RC 10</t>
  </si>
  <si>
    <t>RC 11</t>
  </si>
  <si>
    <t>Ana Cecilia</t>
  </si>
  <si>
    <t>RC 12</t>
  </si>
  <si>
    <t>AC 04/2026</t>
  </si>
  <si>
    <t>Guadalupe Alcaráz</t>
  </si>
  <si>
    <t>No se cumplió con el presupuesto programado de ingresos del mes.</t>
  </si>
  <si>
    <t>AC 05/2026</t>
  </si>
  <si>
    <t>Juan Compián</t>
  </si>
  <si>
    <t>AC 03/2026</t>
  </si>
  <si>
    <t>Raúl Reichel</t>
  </si>
  <si>
    <t>AC 02/2026</t>
  </si>
  <si>
    <t>Raquel Estrada</t>
  </si>
  <si>
    <t>AC 01/2026</t>
  </si>
  <si>
    <t>Lolita Berrelleza</t>
  </si>
  <si>
    <t>No se cumplió con la meta de la eficiencia comercial del mes.</t>
  </si>
  <si>
    <t>Ana Gloria Pérez</t>
  </si>
  <si>
    <t>No se cumplió con la meta de la eficiencia comercial de rezago del mes.</t>
  </si>
  <si>
    <t>AC 14/2025</t>
  </si>
  <si>
    <t>Vence 30 Diciembre 2025. Replanteo al 31 Diciembre 2026.</t>
  </si>
  <si>
    <t>Se cumplió al 100% con los programas de mantenimiento a instalaciones y mantenimiento electromecánico preventivo y correctivo.</t>
  </si>
  <si>
    <t>Aracely Galvez</t>
  </si>
  <si>
    <t>No se cumplió con el índice de cobertura de macromedición.</t>
  </si>
  <si>
    <t>AC 17/2025</t>
  </si>
  <si>
    <t>Evelyn Pelaez</t>
  </si>
  <si>
    <t>Durante el mes se atendió al 100% las solicitudes de intervención especial y no programadas.</t>
  </si>
  <si>
    <t>Se atendieron al 100% los usuarios que interpusieron quejas y denuncias en contra del servicio o cualquier servidor público.</t>
  </si>
  <si>
    <t>Miguel Encinas</t>
  </si>
  <si>
    <t>RC 08/2025</t>
  </si>
  <si>
    <t>AC 15/2025</t>
  </si>
  <si>
    <t>Héctor Paez</t>
  </si>
  <si>
    <t>Vicente Ivich</t>
  </si>
  <si>
    <t>Se cumplió al 100% con la atención de llamadas y mensajes de los usuarios.</t>
  </si>
  <si>
    <t>Alejandro Lara</t>
  </si>
  <si>
    <t>Se cumplió al 100% con la satisfacción del cliente por la atención brindada.</t>
  </si>
  <si>
    <t>Nadia López</t>
  </si>
  <si>
    <t>Se cumplió al 100% en la satisfacción de los usuarios.</t>
  </si>
  <si>
    <t>Carlos Quintero</t>
  </si>
  <si>
    <t>Se cumplió al 100% con el tiempo de respuesta de las solicitudes del H. Ayuntamiento de Cajeme.</t>
  </si>
  <si>
    <t>Irasema Moreno</t>
  </si>
  <si>
    <t>Se cumplió al 100% en tiempo y forma con las solicitudes de información presentadas en el mes.</t>
  </si>
  <si>
    <t>David Bazúa</t>
  </si>
  <si>
    <t>Se cumplió al 100% con la atención por asesorías.</t>
  </si>
  <si>
    <t>Berenice Berrelleza</t>
  </si>
  <si>
    <t>Se notificó al 100% a las áreas las actualizaciones en los documentos externos.</t>
  </si>
  <si>
    <t>Denisse López</t>
  </si>
  <si>
    <t>Se cumplió al 100% con las solicitudes de contrato.</t>
  </si>
  <si>
    <t>Rodrigo Badilla</t>
  </si>
  <si>
    <t>Sonia Ochoa</t>
  </si>
  <si>
    <t>Jazmín Sortillón</t>
  </si>
  <si>
    <t>Se cumplió al 100% con la satisfacción del cliente.</t>
  </si>
  <si>
    <t>Martín Ávila</t>
  </si>
  <si>
    <t>Lenia Luzanilla</t>
  </si>
  <si>
    <t>Jorge Fernández</t>
  </si>
  <si>
    <t>Se cumplió al 100% con el programa de inspecciones.</t>
  </si>
  <si>
    <t>Se cumplió en la atención de reportes suburbanos programados.</t>
  </si>
  <si>
    <t>Ana Karen Pérez</t>
  </si>
  <si>
    <t>Eduardo Rochín</t>
  </si>
  <si>
    <t>Se cumplió al 100% con el tiempo, costo y calidad definidos en la supervisión de obras según proyecto autorizado.</t>
  </si>
  <si>
    <t>Se cumplió al 100% con la elaboración de prefactibilidades en el mes.</t>
  </si>
  <si>
    <t>Manuel Enríquez</t>
  </si>
  <si>
    <t>Se cumplió al 100% con las aprobaciones de proyectos de agua potable y/o alcantarillado sanitario.</t>
  </si>
  <si>
    <t>Se cumplió al 100% con elaboración de proyectos de agua potable y/o alcantarillado sanitario.</t>
  </si>
  <si>
    <t>Se cumplió al 100% con la elaboración de viabilidad comercial e industrial.</t>
  </si>
  <si>
    <t>Se cumplió al 100% con la elaboración de proyectos.</t>
  </si>
  <si>
    <t>Ana Cristina Solis</t>
  </si>
  <si>
    <t>Se cumplió al 100% con las detecciones de infraestructura subterránea solicitadas.</t>
  </si>
  <si>
    <t>Se cumplió al 100% en el tiempo para el cálculo de Derechos de Conexión.</t>
  </si>
  <si>
    <t>Lety Valle</t>
  </si>
  <si>
    <t>Mariana Pérez</t>
  </si>
  <si>
    <t>Se cumplió al 100% en canalizar y dar seguimiento a los reportes que se publican en los medios de comunicación.</t>
  </si>
  <si>
    <t>Ada Liz Badillo</t>
  </si>
  <si>
    <t>Se cumplió al 100% con los diseños requeridos por el OOMAPAS de Cajeme.</t>
  </si>
  <si>
    <t>Se cumplió al 100% con los boletines oficiales solicitados.</t>
  </si>
  <si>
    <t>Myrna Palafox</t>
  </si>
  <si>
    <t>Se cumplió al 100% en atender las órdenes de trabajo.</t>
  </si>
  <si>
    <t>Rosalva Ybarra</t>
  </si>
  <si>
    <t>Se cumplió con la producción de agua en plantas y pozos urbanos.</t>
  </si>
  <si>
    <t>Se cumplió al 100% con el Índice de agua residual tratada.</t>
  </si>
  <si>
    <t>Se cumplió al 100% con el programa de muestreo y análisis de aguas residuales.</t>
  </si>
  <si>
    <t>Se cumplió con el volumen de agua programado.</t>
  </si>
  <si>
    <t>Mario Mendoza</t>
  </si>
  <si>
    <t>Se cumplió con el programa de mantenimiento de redes sanitaria.</t>
  </si>
  <si>
    <t>Se cumplió al 100% con el programa de mantenimiento preventivo.</t>
  </si>
  <si>
    <t>Se cumplió con el programa anual de padrón de usuarios.</t>
  </si>
  <si>
    <t>Se logró superar la meta de recaudación por visitas efectivas.</t>
  </si>
  <si>
    <t>Se logró superar la meta de recaudación por cobranza especial.</t>
  </si>
  <si>
    <t>Se cumplió al 100% con el programa de mantenimiento a los equipos de cómputo.</t>
  </si>
  <si>
    <t>Lizbeth Campa</t>
  </si>
  <si>
    <t>Se cumplió al 100% con la disponibilidad de los servicios críticos de informática.</t>
  </si>
  <si>
    <t>Se cumplió al 100% con el programa de revisión de instalaciones.</t>
  </si>
  <si>
    <t>Se cumplió al 100% con el programa anual de mantenimiento preventivo para vehículos de transporte.</t>
  </si>
  <si>
    <t>Se cumplió con el abastecimiento de las dotaciones de gasolina.</t>
  </si>
  <si>
    <t>Se cumplió al 100% con las solicitudes de mantenimiento correctivo para vehículos de transporte.</t>
  </si>
  <si>
    <t>Se cumplió con el programa anual de intendencia.</t>
  </si>
  <si>
    <t>Vicente Castro</t>
  </si>
  <si>
    <t>Ana Cecilia Ruiz</t>
  </si>
  <si>
    <t>Erika Acosta</t>
  </si>
  <si>
    <t>Se cumplió al 100% con la evaluación del desempeño de proveedores de productos químicos críticos.</t>
  </si>
  <si>
    <t>Xiomara López</t>
  </si>
  <si>
    <t xml:space="preserve"> Se atendieron al 100% las solicitudes de compra en el tiempo establecido.</t>
  </si>
  <si>
    <t>Se cumplió con el envío de los documentos del mes.</t>
  </si>
  <si>
    <t>Se cumplió al 100% con el proceso de licitación pública o simplificada.</t>
  </si>
  <si>
    <t>Daniel Sandoval</t>
  </si>
  <si>
    <t>Se cumplió al 100% con el proceso de adjudicación directa.</t>
  </si>
  <si>
    <t>El indicador es anual.</t>
  </si>
  <si>
    <t>Se cumplió al 99% con la satisfacción de los usuarios.</t>
  </si>
  <si>
    <t>Se cumplió al 100% con el programa de verificación de activos fijos.</t>
  </si>
  <si>
    <t>Se cumplió con la cobertura de Micromedición del área urbana,</t>
  </si>
  <si>
    <t>Se cumplió con el porcentaje de error en toma de lectura.</t>
  </si>
  <si>
    <t>Martha Valenzuela</t>
  </si>
  <si>
    <t xml:space="preserve">Se cumplió con la atención de reportes de los usuarios. </t>
  </si>
  <si>
    <t>RC 12/2025, RC03/2026</t>
  </si>
  <si>
    <t>SI</t>
  </si>
  <si>
    <t>NO</t>
  </si>
  <si>
    <t>Denis Arias</t>
  </si>
  <si>
    <t>AC 06/2026</t>
  </si>
  <si>
    <t>Vence 31 Diciembre 2026.</t>
  </si>
  <si>
    <t>Se cumplió al 100% en los indicadores de las gerencias de la Subdirección de Proyectos e Infraestructura.</t>
  </si>
  <si>
    <t>Joel Acuña</t>
  </si>
  <si>
    <t>RC 04/2026</t>
  </si>
  <si>
    <t>Se cumplió con la cobertura de agua potable.</t>
  </si>
  <si>
    <t>Se cumplió con 3 reuniones con el Consejo Consultivo.</t>
  </si>
  <si>
    <t>Se cumplió con las metas de las direcciones adscritas a la Dirección General.</t>
  </si>
  <si>
    <t>Se cumplió con la entrega del cuestionario único de información básica.</t>
  </si>
  <si>
    <t>Rev. 37</t>
  </si>
  <si>
    <r>
      <t>Última Revisión:</t>
    </r>
    <r>
      <rPr>
        <b/>
        <sz val="11"/>
        <color theme="1"/>
        <rFont val="Arial"/>
        <family val="2"/>
      </rPr>
      <t xml:space="preserve"> Abril 2026</t>
    </r>
  </si>
  <si>
    <t>Vence 31 Diciembre 2026</t>
  </si>
  <si>
    <t>AC 10/2026</t>
  </si>
  <si>
    <t>Se cumplió con la remuneración de jubilados y pensionados.</t>
  </si>
  <si>
    <t>Oswaldo Sauceda</t>
  </si>
  <si>
    <t>Se cumplió en tiempo con el estado de acciones y mejoras.</t>
  </si>
  <si>
    <t>AC 11/2026</t>
  </si>
  <si>
    <t>Vence 05 de Enero 2027.</t>
  </si>
  <si>
    <t>Ana Lilián Núñez</t>
  </si>
  <si>
    <t>Se cumplió con el programa tirmestral de capacitación.</t>
  </si>
  <si>
    <t>AC 17/2025
AC 10/2026</t>
  </si>
  <si>
    <t>Vence 29 Mayo 2026. Replanteada el 28 diciembre 2026.</t>
  </si>
  <si>
    <t>Vence 29 Mayo 2026. Replanteada el 28 de diciembre 2026.
Vence 31 de Dic. 2026.</t>
  </si>
  <si>
    <t>Se cumplió al 92% con el grado de eficacia derivado de las auditorías internas.</t>
  </si>
  <si>
    <t>Se cumplió al 100% con el programa  de mantenimiento preventivo a equipos de cloración y dosificación del semestre.</t>
  </si>
  <si>
    <t>Durante el mes de marzo el organismo se adherió al programa federal PEAS.</t>
  </si>
  <si>
    <t>Se cumple con el programa de calibraciones de equipos de medición.</t>
  </si>
  <si>
    <t>Se cumple con el programa de análisis de agua potable.</t>
  </si>
  <si>
    <t>Vence 19 Junio 2026. Replanteada al 13 de Enero 2027.</t>
  </si>
  <si>
    <t>Se cumplió con la remuneración del personal.</t>
  </si>
  <si>
    <t>Meta MIR 2026</t>
  </si>
  <si>
    <t>na</t>
  </si>
  <si>
    <t>Se cumplió con el programa anual de mantenimiento preventivo a edificios.</t>
  </si>
  <si>
    <t>Se realizó la auditoría programada mensual.</t>
  </si>
  <si>
    <t>Al mes de Junio se considera avance de la revisión del 13% con recurso federal.</t>
  </si>
  <si>
    <t>Se atendió al personal que acudió a asesorías.</t>
  </si>
  <si>
    <t>Se cumplió al 100% con la entrrega de la información de transparencia.</t>
  </si>
  <si>
    <t>RC 07/2026</t>
  </si>
  <si>
    <t>El grado de eficacia del SGC resultó en un 91% de cumplimiento.
El resultado por indicadores fue del 90%, quedando en rango aceptable; y por auditorías fue de 92%, quedando en rango aceptable.</t>
  </si>
  <si>
    <t>Julio 2026</t>
  </si>
  <si>
    <t>Se cumplió al 98% con la satisfacción del ciente en la atención recibida.</t>
  </si>
  <si>
    <t>Se cumplió al 70.4% en el programa anual de pláticas de cultura del agua.</t>
  </si>
  <si>
    <t>Se da cumplimiento a la norma aplicable a control de calidad con 875 muestreos.</t>
  </si>
  <si>
    <t>Se cumplió al 142% con el índice de reportes atendidos.</t>
  </si>
  <si>
    <t>Se llevó a cabo la auditoría durante el mes de julio.</t>
  </si>
  <si>
    <t>En el 2do trimestre se cumplió al 93% con la eficiencia administrativa.</t>
  </si>
  <si>
    <t>María Fernanda Luzanilla</t>
  </si>
  <si>
    <t>Se cumplió al 97% con la solución de las solicitudes de servicio.</t>
  </si>
  <si>
    <t>Se convocó a 1 junta de gobierno en el mes.</t>
  </si>
  <si>
    <t>No se obtuvieron observaciones durante el  por parte de sujetos fiscalizadores.</t>
  </si>
  <si>
    <t>No se cumplió en tiempo con los planes de acción de la Matriz de Riesgos.</t>
  </si>
  <si>
    <t>RC 08/2026</t>
  </si>
  <si>
    <t>Se cumplió al 94% con la satisfacción del cliente.</t>
  </si>
  <si>
    <t>No se cumplió en los indicadores de la gerencia de plantas potabilizadoras.</t>
  </si>
  <si>
    <t>SNC 111-128/2026</t>
  </si>
  <si>
    <t>No hubo accidentes en el mes.</t>
  </si>
  <si>
    <t>JAZMÍN</t>
  </si>
  <si>
    <t>ANA CECILIA</t>
  </si>
  <si>
    <t>RC 09/2026</t>
  </si>
  <si>
    <t>Vence 23 de octubre 2025. Replanteada 26 Enero 2026.Replanteada 17 julio 2026. Replanteada 30 de Diciembre.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</si>
</sst>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3"/>
      <color rgb="FF000000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99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19" fillId="3" borderId="1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4" fillId="0" borderId="9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right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3" fillId="0" borderId="11" xfId="0" applyNumberFormat="1" applyFont="1" applyBorder="1" applyAlignment="1">
      <alignment horizontal="right" vertical="center"/>
    </xf>
    <xf numFmtId="1" fontId="0" fillId="0" borderId="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11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5" fillId="0" borderId="0" xfId="0" applyFont="1"/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1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" fillId="0" borderId="0" xfId="0" applyFont="1"/>
    <xf numFmtId="0" fontId="12" fillId="6" borderId="12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vertical="center" wrapText="1"/>
    </xf>
    <xf numFmtId="0" fontId="21" fillId="0" borderId="0" xfId="0" applyFont="1"/>
    <xf numFmtId="0" fontId="19" fillId="0" borderId="1" xfId="0" applyFont="1" applyBorder="1" applyAlignment="1">
      <alignment horizontal="left" vertical="center" readingOrder="1"/>
    </xf>
    <xf numFmtId="1" fontId="0" fillId="0" borderId="0" xfId="0" applyNumberFormat="1"/>
    <xf numFmtId="3" fontId="1" fillId="0" borderId="0" xfId="0" applyNumberFormat="1" applyFont="1" applyAlignment="1">
      <alignment horizontal="center" vertical="center" wrapText="1"/>
    </xf>
    <xf numFmtId="0" fontId="29" fillId="0" borderId="0" xfId="0" applyFont="1"/>
    <xf numFmtId="1" fontId="13" fillId="0" borderId="1" xfId="1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4" fontId="1" fillId="0" borderId="10" xfId="2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1" fontId="11" fillId="0" borderId="10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44" fontId="1" fillId="0" borderId="10" xfId="0" applyNumberFormat="1" applyFont="1" applyBorder="1" applyAlignment="1">
      <alignment vertical="center" wrapText="1"/>
    </xf>
    <xf numFmtId="44" fontId="1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21" fillId="0" borderId="7" xfId="0" applyFont="1" applyBorder="1" applyAlignment="1">
      <alignment wrapText="1"/>
    </xf>
    <xf numFmtId="0" fontId="21" fillId="0" borderId="0" xfId="0" applyFont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vertical="center" wrapText="1"/>
    </xf>
    <xf numFmtId="9" fontId="3" fillId="4" borderId="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0" fillId="0" borderId="8" xfId="0" applyBorder="1"/>
    <xf numFmtId="0" fontId="25" fillId="0" borderId="1" xfId="0" applyFont="1" applyBorder="1"/>
    <xf numFmtId="0" fontId="21" fillId="0" borderId="5" xfId="0" applyFont="1" applyBorder="1" applyAlignment="1">
      <alignment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21" fillId="0" borderId="7" xfId="0" applyFont="1" applyBorder="1"/>
    <xf numFmtId="9" fontId="0" fillId="0" borderId="0" xfId="1" applyFont="1"/>
    <xf numFmtId="2" fontId="1" fillId="8" borderId="1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25" fillId="6" borderId="1" xfId="0" applyFont="1" applyFill="1" applyBorder="1"/>
    <xf numFmtId="1" fontId="13" fillId="2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19"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33CC"/>
      <color rgb="FF008000"/>
      <color rgb="FF00FF00"/>
      <color rgb="FFCCEC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0</xdr:row>
      <xdr:rowOff>57150</xdr:rowOff>
    </xdr:from>
    <xdr:to>
      <xdr:col>21</xdr:col>
      <xdr:colOff>914400</xdr:colOff>
      <xdr:row>2</xdr:row>
      <xdr:rowOff>161925</xdr:rowOff>
    </xdr:to>
    <xdr:pic>
      <xdr:nvPicPr>
        <xdr:cNvPr id="1025" name="Picture 1" descr="Logo oomapasc 201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06550" y="57150"/>
          <a:ext cx="6572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A133"/>
  <sheetViews>
    <sheetView tabSelected="1" topLeftCell="G102" zoomScale="70" zoomScaleNormal="70" workbookViewId="0">
      <selection activeCell="V112" sqref="V112"/>
    </sheetView>
  </sheetViews>
  <sheetFormatPr baseColWidth="10" defaultColWidth="11.42578125" defaultRowHeight="15" x14ac:dyDescent="0.25"/>
  <cols>
    <col min="1" max="1" width="6.42578125" style="17" customWidth="1"/>
    <col min="2" max="2" width="29.5703125" style="17" customWidth="1"/>
    <col min="3" max="3" width="23.7109375" style="17" customWidth="1"/>
    <col min="4" max="4" width="33.7109375" style="17" customWidth="1"/>
    <col min="5" max="5" width="4.7109375" style="17" customWidth="1"/>
    <col min="6" max="6" width="64" style="17" customWidth="1"/>
    <col min="7" max="7" width="18.140625" style="66" customWidth="1"/>
    <col min="8" max="8" width="14.85546875" style="66" customWidth="1"/>
    <col min="9" max="9" width="15.7109375" style="97" customWidth="1"/>
    <col min="10" max="13" width="14.85546875" style="88" customWidth="1"/>
    <col min="14" max="14" width="7.28515625" style="17" bestFit="1" customWidth="1"/>
    <col min="15" max="15" width="6.42578125" style="17" bestFit="1" customWidth="1"/>
    <col min="16" max="16" width="9.85546875" style="46" customWidth="1"/>
    <col min="17" max="17" width="17.85546875" style="46" customWidth="1"/>
    <col min="18" max="18" width="43.85546875" style="17" customWidth="1"/>
    <col min="19" max="19" width="9.5703125" style="17" customWidth="1"/>
    <col min="20" max="20" width="9.42578125" style="17" customWidth="1"/>
    <col min="21" max="21" width="6.5703125" style="17" customWidth="1"/>
    <col min="22" max="22" width="17" style="58" customWidth="1"/>
    <col min="23" max="23" width="14.140625" customWidth="1"/>
    <col min="26" max="26" width="15.42578125" customWidth="1"/>
    <col min="27" max="27" width="11.42578125" customWidth="1"/>
    <col min="28" max="28" width="11.42578125" style="66" customWidth="1"/>
    <col min="29" max="30" width="18.140625" style="116" customWidth="1"/>
    <col min="31" max="31" width="14.85546875" style="66" customWidth="1"/>
    <col min="32" max="32" width="15.42578125" customWidth="1"/>
    <col min="33" max="34" width="11.42578125" customWidth="1"/>
    <col min="35" max="36" width="18.140625" style="116" customWidth="1"/>
    <col min="37" max="38" width="14" style="66" customWidth="1"/>
    <col min="39" max="39" width="15.42578125" customWidth="1"/>
    <col min="40" max="40" width="11.42578125" style="66" customWidth="1"/>
    <col min="41" max="41" width="11.42578125" customWidth="1"/>
    <col min="42" max="43" width="18.140625" style="116" customWidth="1"/>
    <col min="44" max="44" width="14.5703125" style="66" customWidth="1"/>
    <col min="45" max="45" width="14" style="66" customWidth="1"/>
    <col min="46" max="46" width="15.42578125" customWidth="1"/>
    <col min="47" max="48" width="11.42578125" customWidth="1"/>
    <col min="49" max="50" width="18.140625" style="116" customWidth="1"/>
    <col min="51" max="52" width="14" style="66" customWidth="1"/>
    <col min="53" max="54" width="11.42578125" customWidth="1"/>
  </cols>
  <sheetData>
    <row r="1" spans="1:53" s="1" customFormat="1" ht="18" x14ac:dyDescent="0.25">
      <c r="A1" s="23" t="s">
        <v>0</v>
      </c>
      <c r="B1" s="146"/>
      <c r="C1" s="63"/>
      <c r="D1" s="63"/>
      <c r="E1" s="63"/>
      <c r="F1" s="63"/>
      <c r="G1" s="63"/>
      <c r="H1" s="63"/>
      <c r="I1" s="94"/>
      <c r="J1" s="85"/>
      <c r="K1" s="85"/>
      <c r="L1" s="85"/>
      <c r="M1" s="85"/>
      <c r="N1" s="146"/>
      <c r="O1" s="146"/>
      <c r="P1" s="24"/>
      <c r="Q1" s="24"/>
      <c r="R1" s="146"/>
      <c r="S1" s="146"/>
      <c r="T1" s="146"/>
      <c r="U1" s="146"/>
      <c r="V1" s="56"/>
      <c r="W1" s="124"/>
      <c r="X1" s="124"/>
      <c r="Y1" s="124"/>
      <c r="Z1" s="124"/>
      <c r="AA1" s="124"/>
      <c r="AB1" s="147"/>
      <c r="AC1" s="108"/>
      <c r="AD1" s="108"/>
      <c r="AE1" s="147"/>
      <c r="AF1" s="124"/>
      <c r="AG1" s="124"/>
      <c r="AH1" s="124"/>
      <c r="AI1" s="108"/>
      <c r="AJ1" s="108"/>
      <c r="AK1" s="147"/>
      <c r="AL1" s="147"/>
      <c r="AM1" s="124"/>
      <c r="AN1" s="147"/>
      <c r="AO1" s="124"/>
      <c r="AP1" s="108"/>
      <c r="AQ1" s="108"/>
      <c r="AR1" s="147"/>
      <c r="AS1" s="147"/>
      <c r="AT1" s="124"/>
      <c r="AU1" s="124"/>
      <c r="AV1" s="124"/>
      <c r="AW1" s="108"/>
      <c r="AX1" s="108"/>
      <c r="AY1" s="147"/>
      <c r="AZ1" s="147"/>
      <c r="BA1" s="124"/>
    </row>
    <row r="2" spans="1:53" s="1" customFormat="1" ht="18" x14ac:dyDescent="0.25">
      <c r="A2" s="23" t="s">
        <v>421</v>
      </c>
      <c r="B2" s="146"/>
      <c r="C2" s="63" t="s">
        <v>1</v>
      </c>
      <c r="D2" s="63"/>
      <c r="E2" s="63"/>
      <c r="F2" s="63"/>
      <c r="G2" s="63"/>
      <c r="H2" s="63"/>
      <c r="I2" s="94"/>
      <c r="J2" s="85"/>
      <c r="K2" s="85"/>
      <c r="L2" s="85"/>
      <c r="M2" s="85"/>
      <c r="N2" s="146"/>
      <c r="O2" s="146"/>
      <c r="P2" s="24"/>
      <c r="Q2" s="24"/>
      <c r="R2" s="146"/>
      <c r="S2" s="146"/>
      <c r="T2" s="146"/>
      <c r="U2" s="146"/>
      <c r="V2" s="56"/>
      <c r="W2" s="124"/>
      <c r="X2" s="124"/>
      <c r="Y2" s="124"/>
      <c r="Z2" s="124"/>
      <c r="AA2" s="124"/>
      <c r="AB2" s="147"/>
      <c r="AC2" s="108"/>
      <c r="AD2" s="108"/>
      <c r="AE2" s="147"/>
      <c r="AF2" s="124"/>
      <c r="AG2" s="124"/>
      <c r="AH2" s="124"/>
      <c r="AI2" s="108"/>
      <c r="AJ2" s="108"/>
      <c r="AK2" s="147"/>
      <c r="AL2" s="147"/>
      <c r="AM2" s="124"/>
      <c r="AN2" s="147"/>
      <c r="AO2" s="124"/>
      <c r="AP2" s="108"/>
      <c r="AQ2" s="108"/>
      <c r="AR2" s="147"/>
      <c r="AS2" s="147"/>
      <c r="AT2" s="124"/>
      <c r="AU2" s="124"/>
      <c r="AV2" s="124"/>
      <c r="AW2" s="108"/>
      <c r="AX2" s="108"/>
      <c r="AY2" s="147"/>
      <c r="AZ2" s="147"/>
      <c r="BA2" s="124"/>
    </row>
    <row r="3" spans="1:53" s="1" customFormat="1" ht="15" customHeight="1" x14ac:dyDescent="0.25">
      <c r="A3" s="81" t="s">
        <v>422</v>
      </c>
      <c r="B3" s="81"/>
      <c r="C3" s="23"/>
      <c r="D3" s="146"/>
      <c r="E3" s="146"/>
      <c r="F3" s="146"/>
      <c r="G3" s="147"/>
      <c r="H3" s="147"/>
      <c r="I3" s="148"/>
      <c r="J3" s="149"/>
      <c r="K3" s="149"/>
      <c r="L3" s="149"/>
      <c r="M3" s="149"/>
      <c r="N3" s="146"/>
      <c r="O3" s="146"/>
      <c r="P3" s="24"/>
      <c r="Q3" s="24"/>
      <c r="R3" s="146"/>
      <c r="S3" s="146"/>
      <c r="T3" s="146"/>
      <c r="U3" s="146"/>
      <c r="V3" s="56"/>
      <c r="W3" s="124"/>
      <c r="X3" s="124"/>
      <c r="Y3" s="124"/>
      <c r="Z3" s="124"/>
      <c r="AA3" s="124"/>
      <c r="AB3" s="147"/>
      <c r="AC3" s="108"/>
      <c r="AD3" s="108"/>
      <c r="AE3" s="147"/>
      <c r="AF3" s="124"/>
      <c r="AG3" s="124"/>
      <c r="AH3" s="124"/>
      <c r="AI3" s="108"/>
      <c r="AJ3" s="108"/>
      <c r="AK3" s="147"/>
      <c r="AL3" s="147"/>
      <c r="AM3" s="124"/>
      <c r="AN3" s="147"/>
      <c r="AO3" s="124"/>
      <c r="AP3" s="108"/>
      <c r="AQ3" s="108"/>
      <c r="AR3" s="147"/>
      <c r="AS3" s="147"/>
      <c r="AT3" s="124"/>
      <c r="AU3" s="124"/>
      <c r="AV3" s="124"/>
      <c r="AW3" s="108"/>
      <c r="AX3" s="108"/>
      <c r="AY3" s="147"/>
      <c r="AZ3" s="147"/>
      <c r="BA3" s="124"/>
    </row>
    <row r="4" spans="1:53" s="1" customFormat="1" x14ac:dyDescent="0.25">
      <c r="A4" s="146"/>
      <c r="B4" s="146"/>
      <c r="C4" s="146"/>
      <c r="D4" s="146"/>
      <c r="E4" s="146"/>
      <c r="F4" s="82"/>
      <c r="G4" s="82"/>
      <c r="H4" s="82"/>
      <c r="I4" s="95"/>
      <c r="J4" s="86"/>
      <c r="K4" s="86"/>
      <c r="L4" s="86"/>
      <c r="M4" s="86"/>
      <c r="N4" s="82"/>
      <c r="O4" s="82"/>
      <c r="P4" s="82"/>
      <c r="Q4" s="111"/>
      <c r="R4" s="109" t="s">
        <v>2</v>
      </c>
      <c r="S4" s="110" t="s">
        <v>451</v>
      </c>
      <c r="T4" s="82"/>
      <c r="U4" s="82"/>
      <c r="V4" s="82"/>
      <c r="W4" s="124"/>
      <c r="X4" s="124"/>
      <c r="Y4" s="124"/>
      <c r="Z4" s="124"/>
      <c r="AA4" s="124"/>
      <c r="AB4" s="147"/>
      <c r="AC4" s="108"/>
      <c r="AD4" s="108"/>
      <c r="AE4" s="147"/>
      <c r="AF4" s="124"/>
      <c r="AG4" s="124"/>
      <c r="AH4" s="124"/>
      <c r="AI4" s="108"/>
      <c r="AJ4" s="108"/>
      <c r="AK4" s="147"/>
      <c r="AL4" s="147"/>
      <c r="AM4" s="124"/>
      <c r="AN4" s="147"/>
      <c r="AO4" s="124"/>
      <c r="AP4" s="108"/>
      <c r="AQ4" s="108"/>
      <c r="AR4" s="147"/>
      <c r="AS4" s="147"/>
      <c r="AT4" s="124"/>
      <c r="AU4" s="124"/>
      <c r="AV4" s="124"/>
      <c r="AW4" s="108"/>
      <c r="AX4" s="108"/>
      <c r="AY4" s="147"/>
      <c r="AZ4" s="147"/>
      <c r="BA4" s="124"/>
    </row>
    <row r="5" spans="1:53" s="1" customFormat="1" ht="15" customHeight="1" x14ac:dyDescent="0.25">
      <c r="A5" s="250" t="s">
        <v>3</v>
      </c>
      <c r="B5" s="250" t="s">
        <v>4</v>
      </c>
      <c r="C5" s="250" t="s">
        <v>5</v>
      </c>
      <c r="D5" s="250" t="s">
        <v>6</v>
      </c>
      <c r="E5" s="250" t="s">
        <v>7</v>
      </c>
      <c r="F5" s="250" t="s">
        <v>8</v>
      </c>
      <c r="G5" s="250" t="s">
        <v>9</v>
      </c>
      <c r="H5" s="252" t="s">
        <v>10</v>
      </c>
      <c r="I5" s="238" t="s">
        <v>11</v>
      </c>
      <c r="J5" s="103" t="s">
        <v>12</v>
      </c>
      <c r="K5" s="103" t="s">
        <v>12</v>
      </c>
      <c r="L5" s="103" t="s">
        <v>12</v>
      </c>
      <c r="M5" s="103" t="s">
        <v>12</v>
      </c>
      <c r="N5" s="271" t="s">
        <v>13</v>
      </c>
      <c r="O5" s="272"/>
      <c r="P5" s="273" t="s">
        <v>14</v>
      </c>
      <c r="Q5" s="240" t="s">
        <v>15</v>
      </c>
      <c r="R5" s="275" t="s">
        <v>16</v>
      </c>
      <c r="S5" s="254" t="s">
        <v>17</v>
      </c>
      <c r="T5" s="255"/>
      <c r="U5" s="256"/>
      <c r="V5" s="269" t="s">
        <v>18</v>
      </c>
      <c r="W5" s="124"/>
      <c r="X5" s="124"/>
      <c r="Y5" s="124"/>
      <c r="Z5" s="124"/>
      <c r="AA5" s="124"/>
      <c r="AB5" s="147"/>
      <c r="AC5" s="108"/>
      <c r="AD5" s="278" t="s">
        <v>19</v>
      </c>
      <c r="AE5" s="278" t="s">
        <v>20</v>
      </c>
      <c r="AF5" s="124"/>
      <c r="AG5" s="124"/>
      <c r="AH5" s="124"/>
      <c r="AI5" s="108"/>
      <c r="AJ5" s="277" t="s">
        <v>21</v>
      </c>
      <c r="AK5" s="278" t="s">
        <v>22</v>
      </c>
      <c r="AL5" s="277" t="s">
        <v>23</v>
      </c>
      <c r="AM5" s="124"/>
      <c r="AN5" s="147"/>
      <c r="AO5" s="124"/>
      <c r="AP5" s="108"/>
      <c r="AQ5" s="277" t="s">
        <v>24</v>
      </c>
      <c r="AR5" s="278" t="s">
        <v>25</v>
      </c>
      <c r="AS5" s="277" t="s">
        <v>26</v>
      </c>
      <c r="AT5" s="124"/>
      <c r="AU5" s="124"/>
      <c r="AV5" s="124"/>
      <c r="AW5" s="108"/>
      <c r="AX5" s="277" t="s">
        <v>27</v>
      </c>
      <c r="AY5" s="278" t="s">
        <v>28</v>
      </c>
      <c r="AZ5" s="277" t="s">
        <v>29</v>
      </c>
      <c r="BA5" s="124"/>
    </row>
    <row r="6" spans="1:53" s="1" customFormat="1" ht="18" customHeight="1" x14ac:dyDescent="0.2">
      <c r="A6" s="251"/>
      <c r="B6" s="251"/>
      <c r="C6" s="251"/>
      <c r="D6" s="251"/>
      <c r="E6" s="251"/>
      <c r="F6" s="251"/>
      <c r="G6" s="251"/>
      <c r="H6" s="253"/>
      <c r="I6" s="239"/>
      <c r="J6" s="104" t="s">
        <v>30</v>
      </c>
      <c r="K6" s="104" t="s">
        <v>31</v>
      </c>
      <c r="L6" s="104" t="s">
        <v>32</v>
      </c>
      <c r="M6" s="104" t="s">
        <v>33</v>
      </c>
      <c r="N6" s="25" t="s">
        <v>34</v>
      </c>
      <c r="O6" s="26" t="s">
        <v>35</v>
      </c>
      <c r="P6" s="274"/>
      <c r="Q6" s="241"/>
      <c r="R6" s="276"/>
      <c r="S6" s="27" t="s">
        <v>36</v>
      </c>
      <c r="T6" s="27" t="s">
        <v>37</v>
      </c>
      <c r="U6" s="27" t="s">
        <v>38</v>
      </c>
      <c r="V6" s="270"/>
      <c r="W6" s="124"/>
      <c r="X6" s="124"/>
      <c r="Y6" s="124"/>
      <c r="Z6" s="112" t="s">
        <v>39</v>
      </c>
      <c r="AA6" s="112" t="s">
        <v>40</v>
      </c>
      <c r="AB6" s="112" t="s">
        <v>41</v>
      </c>
      <c r="AC6" s="125" t="s">
        <v>42</v>
      </c>
      <c r="AD6" s="278"/>
      <c r="AE6" s="278"/>
      <c r="AF6" s="126" t="s">
        <v>43</v>
      </c>
      <c r="AG6" s="112" t="s">
        <v>44</v>
      </c>
      <c r="AH6" s="112" t="s">
        <v>45</v>
      </c>
      <c r="AI6" s="125" t="s">
        <v>46</v>
      </c>
      <c r="AJ6" s="277"/>
      <c r="AK6" s="278"/>
      <c r="AL6" s="277"/>
      <c r="AM6" s="126" t="s">
        <v>47</v>
      </c>
      <c r="AN6" s="112" t="s">
        <v>48</v>
      </c>
      <c r="AO6" s="112" t="s">
        <v>49</v>
      </c>
      <c r="AP6" s="125" t="s">
        <v>50</v>
      </c>
      <c r="AQ6" s="277"/>
      <c r="AR6" s="278"/>
      <c r="AS6" s="277"/>
      <c r="AT6" s="126" t="s">
        <v>51</v>
      </c>
      <c r="AU6" s="112" t="s">
        <v>52</v>
      </c>
      <c r="AV6" s="112" t="s">
        <v>53</v>
      </c>
      <c r="AW6" s="125" t="s">
        <v>54</v>
      </c>
      <c r="AX6" s="277"/>
      <c r="AY6" s="278"/>
      <c r="AZ6" s="277"/>
      <c r="BA6" s="124"/>
    </row>
    <row r="7" spans="1:53" s="2" customFormat="1" ht="73.5" customHeight="1" x14ac:dyDescent="0.2">
      <c r="A7" s="5">
        <v>1</v>
      </c>
      <c r="B7" s="4" t="s">
        <v>55</v>
      </c>
      <c r="C7" s="244" t="s">
        <v>56</v>
      </c>
      <c r="D7" s="161" t="s">
        <v>57</v>
      </c>
      <c r="E7" s="64">
        <v>0</v>
      </c>
      <c r="F7" s="61" t="s">
        <v>58</v>
      </c>
      <c r="G7" s="162" t="s">
        <v>65</v>
      </c>
      <c r="H7" s="162" t="s">
        <v>60</v>
      </c>
      <c r="I7" s="135">
        <v>85</v>
      </c>
      <c r="J7" s="135">
        <v>20</v>
      </c>
      <c r="K7" s="135">
        <v>20</v>
      </c>
      <c r="L7" s="135">
        <v>20</v>
      </c>
      <c r="M7" s="135">
        <v>25</v>
      </c>
      <c r="N7" s="242" t="s">
        <v>61</v>
      </c>
      <c r="O7" s="243"/>
      <c r="P7" s="8" t="s">
        <v>409</v>
      </c>
      <c r="Q7" s="134">
        <v>91</v>
      </c>
      <c r="R7" s="78" t="s">
        <v>450</v>
      </c>
      <c r="S7" s="64" t="s">
        <v>62</v>
      </c>
      <c r="T7" s="64" t="s">
        <v>62</v>
      </c>
      <c r="U7" s="64" t="s">
        <v>62</v>
      </c>
      <c r="V7" s="11" t="s">
        <v>365</v>
      </c>
      <c r="W7" s="141"/>
      <c r="X7" s="141"/>
      <c r="Y7" s="141"/>
      <c r="Z7" s="135">
        <v>92</v>
      </c>
      <c r="AA7" s="135">
        <v>91</v>
      </c>
      <c r="AB7" s="135">
        <v>90</v>
      </c>
      <c r="AC7" s="106">
        <f t="shared" ref="AC7" si="0">AVERAGE(Z7:AB7)</f>
        <v>91</v>
      </c>
      <c r="AD7" s="119">
        <f>J7</f>
        <v>20</v>
      </c>
      <c r="AE7" s="119">
        <f>(J7*AC7)/I7</f>
        <v>21.411764705882351</v>
      </c>
      <c r="AF7" s="135">
        <v>90</v>
      </c>
      <c r="AG7" s="135">
        <v>90</v>
      </c>
      <c r="AH7" s="135">
        <v>91</v>
      </c>
      <c r="AI7" s="8">
        <f t="shared" ref="AI7" si="1">AVERAGE(AF7:AH7)</f>
        <v>90.333333333333329</v>
      </c>
      <c r="AJ7" s="119">
        <f>J7+K7</f>
        <v>40</v>
      </c>
      <c r="AK7" s="119">
        <f>(K7*AI7)/I7</f>
        <v>21.254901960784313</v>
      </c>
      <c r="AL7" s="119">
        <f>AE7+AK7</f>
        <v>42.666666666666664</v>
      </c>
      <c r="AM7" s="135">
        <f>Q7</f>
        <v>91</v>
      </c>
      <c r="AN7" s="135"/>
      <c r="AO7" s="135"/>
      <c r="AP7" s="8">
        <f t="shared" ref="AP7" si="2">AVERAGE(AM7:AO7)</f>
        <v>91</v>
      </c>
      <c r="AQ7" s="119">
        <f>J7+K7+L7</f>
        <v>60</v>
      </c>
      <c r="AR7" s="119">
        <f>(L7*AP7)/I7</f>
        <v>21.411764705882351</v>
      </c>
      <c r="AS7" s="119">
        <f>AE7+AK7+AR7</f>
        <v>64.078431372549019</v>
      </c>
      <c r="AT7" s="135"/>
      <c r="AU7" s="135"/>
      <c r="AV7" s="135"/>
      <c r="AW7" s="8" t="e">
        <f t="shared" ref="AW7" si="3">AVERAGE(AT7:AV7)</f>
        <v>#DIV/0!</v>
      </c>
      <c r="AX7" s="119">
        <f>J7+K7+L7+M7</f>
        <v>85</v>
      </c>
      <c r="AY7" s="119" t="e">
        <f>(M7*AW7)/I7</f>
        <v>#DIV/0!</v>
      </c>
      <c r="AZ7" s="119" t="e">
        <f>AE7+AK7+AR7+AY7</f>
        <v>#DIV/0!</v>
      </c>
      <c r="BA7" s="141"/>
    </row>
    <row r="8" spans="1:53" s="2" customFormat="1" ht="51" customHeight="1" x14ac:dyDescent="0.2">
      <c r="A8" s="77"/>
      <c r="B8" s="37"/>
      <c r="C8" s="245"/>
      <c r="D8" s="247" t="s">
        <v>63</v>
      </c>
      <c r="E8" s="64">
        <v>1</v>
      </c>
      <c r="F8" s="61" t="s">
        <v>64</v>
      </c>
      <c r="G8" s="162" t="s">
        <v>65</v>
      </c>
      <c r="H8" s="162" t="s">
        <v>60</v>
      </c>
      <c r="I8" s="135">
        <v>85</v>
      </c>
      <c r="J8" s="135">
        <v>20</v>
      </c>
      <c r="K8" s="135">
        <v>20</v>
      </c>
      <c r="L8" s="135">
        <v>20</v>
      </c>
      <c r="M8" s="135">
        <v>25</v>
      </c>
      <c r="N8" s="64" t="s">
        <v>66</v>
      </c>
      <c r="O8" s="64"/>
      <c r="P8" s="8" t="s">
        <v>409</v>
      </c>
      <c r="Q8" s="123">
        <v>0</v>
      </c>
      <c r="R8" s="78" t="s">
        <v>419</v>
      </c>
      <c r="S8" s="64" t="s">
        <v>62</v>
      </c>
      <c r="T8" s="64" t="s">
        <v>62</v>
      </c>
      <c r="U8" s="64" t="s">
        <v>62</v>
      </c>
      <c r="V8" s="11" t="s">
        <v>365</v>
      </c>
      <c r="W8" s="141"/>
      <c r="X8" s="141"/>
      <c r="Y8" s="141"/>
      <c r="Z8" s="135">
        <v>0</v>
      </c>
      <c r="AA8" s="135">
        <v>0</v>
      </c>
      <c r="AB8" s="135">
        <v>88</v>
      </c>
      <c r="AC8" s="8">
        <f>SUM(Z8:AB8)</f>
        <v>88</v>
      </c>
      <c r="AD8" s="119">
        <f t="shared" ref="AD8:AD75" si="4">J8</f>
        <v>20</v>
      </c>
      <c r="AE8" s="119">
        <f>(J8*AC8)/I8</f>
        <v>20.705882352941178</v>
      </c>
      <c r="AF8" s="135">
        <v>0</v>
      </c>
      <c r="AG8" s="135">
        <v>0</v>
      </c>
      <c r="AH8" s="135">
        <v>85</v>
      </c>
      <c r="AI8" s="8">
        <f>SUM(AF8:AH8)</f>
        <v>85</v>
      </c>
      <c r="AJ8" s="119">
        <f t="shared" ref="AJ8:AJ75" si="5">J8+K8</f>
        <v>40</v>
      </c>
      <c r="AK8" s="119">
        <f>(K8*AI8)/I8</f>
        <v>20</v>
      </c>
      <c r="AL8" s="119">
        <f t="shared" ref="AL8:AL75" si="6">AE8+AK8</f>
        <v>40.705882352941174</v>
      </c>
      <c r="AM8" s="135">
        <f t="shared" ref="AM8:AM71" si="7">Q8</f>
        <v>0</v>
      </c>
      <c r="AN8" s="135"/>
      <c r="AO8" s="135"/>
      <c r="AP8" s="8">
        <f>SUM(AM8:AO8)</f>
        <v>0</v>
      </c>
      <c r="AQ8" s="119">
        <f t="shared" ref="AQ8:AQ75" si="8">J8+K8+L8</f>
        <v>60</v>
      </c>
      <c r="AR8" s="119">
        <f>(L8*AP8)/I8</f>
        <v>0</v>
      </c>
      <c r="AS8" s="119">
        <f t="shared" ref="AS8:AS75" si="9">AE8+AK8+AR8</f>
        <v>40.705882352941174</v>
      </c>
      <c r="AT8" s="135"/>
      <c r="AU8" s="135"/>
      <c r="AV8" s="135"/>
      <c r="AW8" s="8">
        <f>SUM(AT8:AV8)</f>
        <v>0</v>
      </c>
      <c r="AX8" s="119">
        <f t="shared" ref="AX8:AX75" si="10">J8+K8+L8+M8</f>
        <v>85</v>
      </c>
      <c r="AY8" s="119">
        <f>(M8*AW8)/I8</f>
        <v>0</v>
      </c>
      <c r="AZ8" s="119">
        <f t="shared" ref="AZ8:AZ75" si="11">AE8+AK8+AR8+AY8</f>
        <v>40.705882352941174</v>
      </c>
      <c r="BA8" s="141"/>
    </row>
    <row r="9" spans="1:53" s="2" customFormat="1" ht="45" customHeight="1" x14ac:dyDescent="0.2">
      <c r="A9" s="71"/>
      <c r="B9" s="43"/>
      <c r="C9" s="246"/>
      <c r="D9" s="249"/>
      <c r="E9" s="64">
        <v>2</v>
      </c>
      <c r="F9" s="61" t="s">
        <v>67</v>
      </c>
      <c r="G9" s="162" t="s">
        <v>65</v>
      </c>
      <c r="H9" s="162" t="s">
        <v>68</v>
      </c>
      <c r="I9" s="135">
        <v>11</v>
      </c>
      <c r="J9" s="135">
        <v>3</v>
      </c>
      <c r="K9" s="135">
        <v>3</v>
      </c>
      <c r="L9" s="135">
        <v>2</v>
      </c>
      <c r="M9" s="135">
        <v>3</v>
      </c>
      <c r="N9" s="64" t="s">
        <v>66</v>
      </c>
      <c r="O9" s="64"/>
      <c r="P9" s="8" t="s">
        <v>409</v>
      </c>
      <c r="Q9" s="123">
        <v>0</v>
      </c>
      <c r="R9" s="78" t="s">
        <v>418</v>
      </c>
      <c r="S9" s="64" t="s">
        <v>62</v>
      </c>
      <c r="T9" s="64" t="s">
        <v>62</v>
      </c>
      <c r="U9" s="64" t="s">
        <v>62</v>
      </c>
      <c r="V9" s="11" t="s">
        <v>365</v>
      </c>
      <c r="W9" s="141"/>
      <c r="X9" s="141"/>
      <c r="Y9" s="141"/>
      <c r="Z9" s="135">
        <v>0</v>
      </c>
      <c r="AA9" s="135">
        <v>0</v>
      </c>
      <c r="AB9" s="135">
        <v>3</v>
      </c>
      <c r="AC9" s="8">
        <f>SUM(Z9:AB9)</f>
        <v>3</v>
      </c>
      <c r="AD9" s="119">
        <f t="shared" si="4"/>
        <v>3</v>
      </c>
      <c r="AE9" s="120">
        <f>AC9</f>
        <v>3</v>
      </c>
      <c r="AF9" s="135">
        <v>0</v>
      </c>
      <c r="AG9" s="135">
        <v>0</v>
      </c>
      <c r="AH9" s="135">
        <v>3</v>
      </c>
      <c r="AI9" s="8">
        <f>SUM(AF9:AH9)</f>
        <v>3</v>
      </c>
      <c r="AJ9" s="119">
        <f t="shared" si="5"/>
        <v>6</v>
      </c>
      <c r="AK9" s="120">
        <f>AI9</f>
        <v>3</v>
      </c>
      <c r="AL9" s="119">
        <f t="shared" si="6"/>
        <v>6</v>
      </c>
      <c r="AM9" s="135">
        <f t="shared" si="7"/>
        <v>0</v>
      </c>
      <c r="AN9" s="135"/>
      <c r="AO9" s="135"/>
      <c r="AP9" s="8">
        <f>SUM(AM9:AO9)</f>
        <v>0</v>
      </c>
      <c r="AQ9" s="119">
        <f t="shared" si="8"/>
        <v>8</v>
      </c>
      <c r="AR9" s="120">
        <f>AP9</f>
        <v>0</v>
      </c>
      <c r="AS9" s="119">
        <f t="shared" si="9"/>
        <v>6</v>
      </c>
      <c r="AT9" s="135"/>
      <c r="AU9" s="135"/>
      <c r="AV9" s="135"/>
      <c r="AW9" s="8">
        <f>SUM(AT9:AV9)</f>
        <v>0</v>
      </c>
      <c r="AX9" s="119">
        <f t="shared" si="10"/>
        <v>11</v>
      </c>
      <c r="AY9" s="120">
        <f>AW9</f>
        <v>0</v>
      </c>
      <c r="AZ9" s="119">
        <f t="shared" si="11"/>
        <v>6</v>
      </c>
      <c r="BA9" s="141"/>
    </row>
    <row r="10" spans="1:53" s="2" customFormat="1" ht="40.5" customHeight="1" x14ac:dyDescent="0.2">
      <c r="A10" s="5">
        <v>2</v>
      </c>
      <c r="B10" s="4" t="s">
        <v>69</v>
      </c>
      <c r="C10" s="244" t="s">
        <v>70</v>
      </c>
      <c r="D10" s="247" t="s">
        <v>71</v>
      </c>
      <c r="E10" s="64">
        <v>3</v>
      </c>
      <c r="F10" s="60" t="s">
        <v>72</v>
      </c>
      <c r="G10" s="64" t="s">
        <v>65</v>
      </c>
      <c r="H10" s="64" t="s">
        <v>73</v>
      </c>
      <c r="I10" s="135">
        <v>28</v>
      </c>
      <c r="J10" s="135">
        <v>6</v>
      </c>
      <c r="K10" s="135">
        <v>6</v>
      </c>
      <c r="L10" s="135">
        <v>8</v>
      </c>
      <c r="M10" s="135">
        <v>8</v>
      </c>
      <c r="N10" s="64" t="s">
        <v>66</v>
      </c>
      <c r="O10" s="64"/>
      <c r="P10" s="8" t="s">
        <v>409</v>
      </c>
      <c r="Q10" s="8">
        <v>0</v>
      </c>
      <c r="R10" s="78" t="s">
        <v>441</v>
      </c>
      <c r="S10" s="64" t="s">
        <v>62</v>
      </c>
      <c r="T10" s="64" t="s">
        <v>62</v>
      </c>
      <c r="U10" s="64" t="s">
        <v>62</v>
      </c>
      <c r="V10" s="11" t="s">
        <v>391</v>
      </c>
      <c r="W10" s="141"/>
      <c r="X10" s="141"/>
      <c r="Y10" s="141"/>
      <c r="Z10" s="135">
        <v>0</v>
      </c>
      <c r="AA10" s="135">
        <v>0</v>
      </c>
      <c r="AB10" s="135">
        <v>6</v>
      </c>
      <c r="AC10" s="8">
        <f t="shared" ref="AC10:AC11" si="12">SUM(Z10:AB10)</f>
        <v>6</v>
      </c>
      <c r="AD10" s="119">
        <f t="shared" si="4"/>
        <v>6</v>
      </c>
      <c r="AE10" s="120">
        <f t="shared" ref="AE10:AE11" si="13">AC10</f>
        <v>6</v>
      </c>
      <c r="AF10" s="135">
        <v>0</v>
      </c>
      <c r="AG10" s="135">
        <v>0</v>
      </c>
      <c r="AH10" s="135">
        <v>6</v>
      </c>
      <c r="AI10" s="8">
        <f t="shared" ref="AI10:AI11" si="14">SUM(AF10:AH10)</f>
        <v>6</v>
      </c>
      <c r="AJ10" s="119">
        <f t="shared" si="5"/>
        <v>12</v>
      </c>
      <c r="AK10" s="120">
        <f t="shared" ref="AK10:AK11" si="15">AI10</f>
        <v>6</v>
      </c>
      <c r="AL10" s="119">
        <f t="shared" si="6"/>
        <v>12</v>
      </c>
      <c r="AM10" s="135">
        <f t="shared" si="7"/>
        <v>0</v>
      </c>
      <c r="AN10" s="135"/>
      <c r="AO10" s="135"/>
      <c r="AP10" s="8">
        <f t="shared" ref="AP10:AP11" si="16">SUM(AM10:AO10)</f>
        <v>0</v>
      </c>
      <c r="AQ10" s="119">
        <f t="shared" si="8"/>
        <v>20</v>
      </c>
      <c r="AR10" s="120">
        <f t="shared" ref="AR10:AR11" si="17">AP10</f>
        <v>0</v>
      </c>
      <c r="AS10" s="119">
        <f t="shared" si="9"/>
        <v>12</v>
      </c>
      <c r="AT10" s="135"/>
      <c r="AU10" s="135"/>
      <c r="AV10" s="135"/>
      <c r="AW10" s="8">
        <f t="shared" ref="AW10:AW11" si="18">SUM(AT10:AV10)</f>
        <v>0</v>
      </c>
      <c r="AX10" s="119">
        <f t="shared" si="10"/>
        <v>28</v>
      </c>
      <c r="AY10" s="120">
        <f t="shared" ref="AY10:AY11" si="19">AW10</f>
        <v>0</v>
      </c>
      <c r="AZ10" s="119">
        <f t="shared" si="11"/>
        <v>12</v>
      </c>
      <c r="BA10" s="141"/>
    </row>
    <row r="11" spans="1:53" s="2" customFormat="1" ht="40.5" customHeight="1" x14ac:dyDescent="0.2">
      <c r="A11" s="35"/>
      <c r="B11" s="54"/>
      <c r="C11" s="245"/>
      <c r="D11" s="248"/>
      <c r="E11" s="64">
        <v>4</v>
      </c>
      <c r="F11" s="60" t="s">
        <v>74</v>
      </c>
      <c r="G11" s="64" t="s">
        <v>65</v>
      </c>
      <c r="H11" s="64" t="s">
        <v>73</v>
      </c>
      <c r="I11" s="135">
        <v>28</v>
      </c>
      <c r="J11" s="135">
        <v>6</v>
      </c>
      <c r="K11" s="135">
        <v>6</v>
      </c>
      <c r="L11" s="135">
        <v>8</v>
      </c>
      <c r="M11" s="135">
        <v>8</v>
      </c>
      <c r="N11" s="64" t="s">
        <v>66</v>
      </c>
      <c r="O11" s="64"/>
      <c r="P11" s="8" t="s">
        <v>409</v>
      </c>
      <c r="Q11" s="8">
        <v>0</v>
      </c>
      <c r="R11" s="78" t="s">
        <v>425</v>
      </c>
      <c r="S11" s="64" t="s">
        <v>62</v>
      </c>
      <c r="T11" s="64" t="s">
        <v>62</v>
      </c>
      <c r="U11" s="64" t="s">
        <v>62</v>
      </c>
      <c r="V11" s="11" t="s">
        <v>391</v>
      </c>
      <c r="W11" s="141"/>
      <c r="X11" s="141"/>
      <c r="Y11" s="141"/>
      <c r="Z11" s="135">
        <v>0</v>
      </c>
      <c r="AA11" s="135">
        <v>0</v>
      </c>
      <c r="AB11" s="135">
        <v>6</v>
      </c>
      <c r="AC11" s="8">
        <f t="shared" si="12"/>
        <v>6</v>
      </c>
      <c r="AD11" s="119">
        <f t="shared" si="4"/>
        <v>6</v>
      </c>
      <c r="AE11" s="120">
        <f t="shared" si="13"/>
        <v>6</v>
      </c>
      <c r="AF11" s="135">
        <v>0</v>
      </c>
      <c r="AG11" s="135">
        <v>0</v>
      </c>
      <c r="AH11" s="135">
        <v>6</v>
      </c>
      <c r="AI11" s="8">
        <f t="shared" si="14"/>
        <v>6</v>
      </c>
      <c r="AJ11" s="119">
        <f t="shared" si="5"/>
        <v>12</v>
      </c>
      <c r="AK11" s="120">
        <f t="shared" si="15"/>
        <v>6</v>
      </c>
      <c r="AL11" s="119">
        <f t="shared" si="6"/>
        <v>12</v>
      </c>
      <c r="AM11" s="135">
        <f t="shared" si="7"/>
        <v>0</v>
      </c>
      <c r="AN11" s="135"/>
      <c r="AO11" s="135"/>
      <c r="AP11" s="8">
        <f t="shared" si="16"/>
        <v>0</v>
      </c>
      <c r="AQ11" s="119">
        <f t="shared" si="8"/>
        <v>20</v>
      </c>
      <c r="AR11" s="120">
        <f t="shared" si="17"/>
        <v>0</v>
      </c>
      <c r="AS11" s="119">
        <f t="shared" si="9"/>
        <v>12</v>
      </c>
      <c r="AT11" s="135"/>
      <c r="AU11" s="135"/>
      <c r="AV11" s="135"/>
      <c r="AW11" s="8">
        <f t="shared" si="18"/>
        <v>0</v>
      </c>
      <c r="AX11" s="119">
        <f t="shared" si="10"/>
        <v>28</v>
      </c>
      <c r="AY11" s="120">
        <f t="shared" si="19"/>
        <v>0</v>
      </c>
      <c r="AZ11" s="119">
        <f t="shared" si="11"/>
        <v>12</v>
      </c>
      <c r="BA11" s="141"/>
    </row>
    <row r="12" spans="1:53" s="2" customFormat="1" ht="40.5" customHeight="1" x14ac:dyDescent="0.2">
      <c r="A12" s="72"/>
      <c r="B12" s="37"/>
      <c r="C12" s="245"/>
      <c r="D12" s="248"/>
      <c r="E12" s="64">
        <v>5</v>
      </c>
      <c r="F12" s="60" t="s">
        <v>75</v>
      </c>
      <c r="G12" s="64" t="s">
        <v>65</v>
      </c>
      <c r="H12" s="64" t="s">
        <v>60</v>
      </c>
      <c r="I12" s="135">
        <v>100</v>
      </c>
      <c r="J12" s="135">
        <v>25</v>
      </c>
      <c r="K12" s="135">
        <v>25</v>
      </c>
      <c r="L12" s="135">
        <v>25</v>
      </c>
      <c r="M12" s="135">
        <v>25</v>
      </c>
      <c r="N12" s="64" t="s">
        <v>66</v>
      </c>
      <c r="O12" s="64"/>
      <c r="P12" s="8" t="s">
        <v>409</v>
      </c>
      <c r="Q12" s="8">
        <v>0</v>
      </c>
      <c r="R12" s="78" t="s">
        <v>431</v>
      </c>
      <c r="S12" s="225" t="s">
        <v>416</v>
      </c>
      <c r="T12" s="64" t="s">
        <v>62</v>
      </c>
      <c r="U12" s="64" t="s">
        <v>62</v>
      </c>
      <c r="V12" s="11" t="s">
        <v>392</v>
      </c>
      <c r="W12" s="141"/>
      <c r="X12" s="141"/>
      <c r="Y12" s="141"/>
      <c r="Z12" s="135">
        <v>0</v>
      </c>
      <c r="AA12" s="135">
        <v>0</v>
      </c>
      <c r="AB12" s="135">
        <v>86</v>
      </c>
      <c r="AC12" s="8">
        <f>SUM(Z12:AB12)</f>
        <v>86</v>
      </c>
      <c r="AD12" s="119">
        <f t="shared" si="4"/>
        <v>25</v>
      </c>
      <c r="AE12" s="119">
        <f t="shared" ref="AE12:AE15" si="20">(J12*AC12)/I12</f>
        <v>21.5</v>
      </c>
      <c r="AF12" s="135">
        <v>0</v>
      </c>
      <c r="AG12" s="135">
        <v>0</v>
      </c>
      <c r="AH12" s="135">
        <v>100</v>
      </c>
      <c r="AI12" s="8">
        <f>SUM(AF12:AH12)</f>
        <v>100</v>
      </c>
      <c r="AJ12" s="119">
        <f t="shared" si="5"/>
        <v>50</v>
      </c>
      <c r="AK12" s="119">
        <f t="shared" ref="AK12:AK15" si="21">(K12*AI12)/I12</f>
        <v>25</v>
      </c>
      <c r="AL12" s="119">
        <f t="shared" si="6"/>
        <v>46.5</v>
      </c>
      <c r="AM12" s="135">
        <f t="shared" si="7"/>
        <v>0</v>
      </c>
      <c r="AN12" s="135"/>
      <c r="AO12" s="135"/>
      <c r="AP12" s="8">
        <f>SUM(AM12:AO12)</f>
        <v>0</v>
      </c>
      <c r="AQ12" s="119">
        <f t="shared" si="8"/>
        <v>75</v>
      </c>
      <c r="AR12" s="119">
        <f t="shared" ref="AR12:AR15" si="22">(L12*AP12)/I12</f>
        <v>0</v>
      </c>
      <c r="AS12" s="119">
        <f t="shared" si="9"/>
        <v>46.5</v>
      </c>
      <c r="AT12" s="135"/>
      <c r="AU12" s="135"/>
      <c r="AV12" s="135"/>
      <c r="AW12" s="8">
        <f>SUM(AT12:AV12)</f>
        <v>0</v>
      </c>
      <c r="AX12" s="119">
        <f t="shared" si="10"/>
        <v>100</v>
      </c>
      <c r="AY12" s="119">
        <f t="shared" ref="AY12:AY15" si="23">(M12*AW12)/I12</f>
        <v>0</v>
      </c>
      <c r="AZ12" s="119">
        <f t="shared" si="11"/>
        <v>46.5</v>
      </c>
      <c r="BA12" s="141"/>
    </row>
    <row r="13" spans="1:53" s="2" customFormat="1" ht="40.5" customHeight="1" x14ac:dyDescent="0.2">
      <c r="A13" s="72"/>
      <c r="B13" s="37"/>
      <c r="C13" s="245"/>
      <c r="D13" s="249"/>
      <c r="E13" s="64">
        <v>6</v>
      </c>
      <c r="F13" s="60" t="s">
        <v>76</v>
      </c>
      <c r="G13" s="64" t="s">
        <v>196</v>
      </c>
      <c r="H13" s="64" t="s">
        <v>60</v>
      </c>
      <c r="I13" s="135">
        <v>95</v>
      </c>
      <c r="J13" s="135">
        <v>0</v>
      </c>
      <c r="K13" s="135">
        <v>0</v>
      </c>
      <c r="L13" s="135">
        <v>0</v>
      </c>
      <c r="M13" s="135">
        <v>95</v>
      </c>
      <c r="N13" s="64" t="s">
        <v>66</v>
      </c>
      <c r="O13" s="64"/>
      <c r="P13" s="8" t="s">
        <v>409</v>
      </c>
      <c r="Q13" s="8">
        <v>0</v>
      </c>
      <c r="R13" s="78" t="s">
        <v>401</v>
      </c>
      <c r="S13" s="64" t="s">
        <v>62</v>
      </c>
      <c r="T13" s="64" t="s">
        <v>62</v>
      </c>
      <c r="U13" s="64" t="s">
        <v>62</v>
      </c>
      <c r="V13" s="11" t="s">
        <v>393</v>
      </c>
      <c r="W13" s="141"/>
      <c r="X13" s="141"/>
      <c r="Y13" s="141"/>
      <c r="Z13" s="135">
        <v>0</v>
      </c>
      <c r="AA13" s="135">
        <v>0</v>
      </c>
      <c r="AB13" s="135">
        <v>0</v>
      </c>
      <c r="AC13" s="8">
        <f t="shared" ref="AC13:AC16" si="24">AVERAGE(Z13:AB13)</f>
        <v>0</v>
      </c>
      <c r="AD13" s="119">
        <f t="shared" si="4"/>
        <v>0</v>
      </c>
      <c r="AE13" s="119">
        <f t="shared" si="20"/>
        <v>0</v>
      </c>
      <c r="AF13" s="135">
        <v>0</v>
      </c>
      <c r="AG13" s="135">
        <v>0</v>
      </c>
      <c r="AH13" s="135">
        <v>0</v>
      </c>
      <c r="AI13" s="8">
        <f t="shared" ref="AI13:AI15" si="25">AVERAGE(AF13:AH13)</f>
        <v>0</v>
      </c>
      <c r="AJ13" s="119">
        <f t="shared" si="5"/>
        <v>0</v>
      </c>
      <c r="AK13" s="119">
        <f t="shared" si="21"/>
        <v>0</v>
      </c>
      <c r="AL13" s="119">
        <f t="shared" si="6"/>
        <v>0</v>
      </c>
      <c r="AM13" s="135">
        <f t="shared" si="7"/>
        <v>0</v>
      </c>
      <c r="AN13" s="135"/>
      <c r="AO13" s="135"/>
      <c r="AP13" s="8">
        <f t="shared" ref="AP13:AP15" si="26">AVERAGE(AM13:AO13)</f>
        <v>0</v>
      </c>
      <c r="AQ13" s="119">
        <f t="shared" si="8"/>
        <v>0</v>
      </c>
      <c r="AR13" s="119">
        <f t="shared" si="22"/>
        <v>0</v>
      </c>
      <c r="AS13" s="119">
        <f t="shared" si="9"/>
        <v>0</v>
      </c>
      <c r="AT13" s="135"/>
      <c r="AU13" s="135"/>
      <c r="AV13" s="135"/>
      <c r="AW13" s="8" t="e">
        <f t="shared" ref="AW13:AW15" si="27">AVERAGE(AT13:AV13)</f>
        <v>#DIV/0!</v>
      </c>
      <c r="AX13" s="119">
        <f t="shared" si="10"/>
        <v>95</v>
      </c>
      <c r="AY13" s="119" t="e">
        <f t="shared" si="23"/>
        <v>#DIV/0!</v>
      </c>
      <c r="AZ13" s="119" t="e">
        <f t="shared" si="11"/>
        <v>#DIV/0!</v>
      </c>
      <c r="BA13" s="141"/>
    </row>
    <row r="14" spans="1:53" s="2" customFormat="1" ht="49.5" customHeight="1" x14ac:dyDescent="0.2">
      <c r="A14" s="30"/>
      <c r="B14" s="40"/>
      <c r="C14" s="245"/>
      <c r="D14" s="247" t="s">
        <v>77</v>
      </c>
      <c r="E14" s="64">
        <v>7</v>
      </c>
      <c r="F14" s="60" t="s">
        <v>78</v>
      </c>
      <c r="G14" s="64" t="s">
        <v>59</v>
      </c>
      <c r="H14" s="64" t="s">
        <v>60</v>
      </c>
      <c r="I14" s="135">
        <v>100</v>
      </c>
      <c r="J14" s="135">
        <v>25</v>
      </c>
      <c r="K14" s="135">
        <v>25</v>
      </c>
      <c r="L14" s="135">
        <v>25</v>
      </c>
      <c r="M14" s="135">
        <v>25</v>
      </c>
      <c r="N14" s="64"/>
      <c r="O14" s="64" t="s">
        <v>66</v>
      </c>
      <c r="P14" s="8" t="s">
        <v>409</v>
      </c>
      <c r="Q14" s="8">
        <v>100</v>
      </c>
      <c r="R14" s="60" t="s">
        <v>394</v>
      </c>
      <c r="S14" s="64" t="s">
        <v>62</v>
      </c>
      <c r="T14" s="64" t="s">
        <v>62</v>
      </c>
      <c r="U14" s="64" t="s">
        <v>62</v>
      </c>
      <c r="V14" s="11" t="s">
        <v>395</v>
      </c>
      <c r="W14" s="141"/>
      <c r="X14" s="141"/>
      <c r="Y14" s="141"/>
      <c r="Z14" s="135">
        <v>100</v>
      </c>
      <c r="AA14" s="135">
        <v>100</v>
      </c>
      <c r="AB14" s="135">
        <v>100</v>
      </c>
      <c r="AC14" s="8">
        <f t="shared" si="24"/>
        <v>100</v>
      </c>
      <c r="AD14" s="119">
        <f t="shared" si="4"/>
        <v>25</v>
      </c>
      <c r="AE14" s="119">
        <f t="shared" si="20"/>
        <v>25</v>
      </c>
      <c r="AF14" s="135">
        <v>100</v>
      </c>
      <c r="AG14" s="135">
        <v>100</v>
      </c>
      <c r="AH14" s="135">
        <v>100</v>
      </c>
      <c r="AI14" s="8">
        <f t="shared" si="25"/>
        <v>100</v>
      </c>
      <c r="AJ14" s="119">
        <f t="shared" si="5"/>
        <v>50</v>
      </c>
      <c r="AK14" s="119">
        <f t="shared" si="21"/>
        <v>25</v>
      </c>
      <c r="AL14" s="119">
        <f t="shared" si="6"/>
        <v>50</v>
      </c>
      <c r="AM14" s="135">
        <f t="shared" si="7"/>
        <v>100</v>
      </c>
      <c r="AN14" s="135"/>
      <c r="AO14" s="135"/>
      <c r="AP14" s="8">
        <f t="shared" si="26"/>
        <v>100</v>
      </c>
      <c r="AQ14" s="119">
        <f t="shared" si="8"/>
        <v>75</v>
      </c>
      <c r="AR14" s="119">
        <f t="shared" si="22"/>
        <v>25</v>
      </c>
      <c r="AS14" s="119">
        <f t="shared" si="9"/>
        <v>75</v>
      </c>
      <c r="AT14" s="135"/>
      <c r="AU14" s="135"/>
      <c r="AV14" s="135"/>
      <c r="AW14" s="8" t="e">
        <f t="shared" si="27"/>
        <v>#DIV/0!</v>
      </c>
      <c r="AX14" s="119">
        <f t="shared" si="10"/>
        <v>100</v>
      </c>
      <c r="AY14" s="119" t="e">
        <f t="shared" si="23"/>
        <v>#DIV/0!</v>
      </c>
      <c r="AZ14" s="119" t="e">
        <f t="shared" si="11"/>
        <v>#DIV/0!</v>
      </c>
      <c r="BA14" s="141"/>
    </row>
    <row r="15" spans="1:53" s="2" customFormat="1" ht="39.75" customHeight="1" x14ac:dyDescent="0.2">
      <c r="A15" s="30"/>
      <c r="B15" s="29"/>
      <c r="C15" s="245"/>
      <c r="D15" s="248"/>
      <c r="E15" s="64">
        <v>8</v>
      </c>
      <c r="F15" s="60" t="s">
        <v>79</v>
      </c>
      <c r="G15" s="64" t="s">
        <v>59</v>
      </c>
      <c r="H15" s="64" t="s">
        <v>60</v>
      </c>
      <c r="I15" s="135">
        <v>100</v>
      </c>
      <c r="J15" s="135">
        <v>25</v>
      </c>
      <c r="K15" s="135">
        <v>25</v>
      </c>
      <c r="L15" s="135">
        <v>25</v>
      </c>
      <c r="M15" s="135">
        <v>25</v>
      </c>
      <c r="N15" s="64" t="s">
        <v>66</v>
      </c>
      <c r="O15" s="64"/>
      <c r="P15" s="8" t="s">
        <v>409</v>
      </c>
      <c r="Q15" s="8">
        <v>100</v>
      </c>
      <c r="R15" s="60" t="s">
        <v>396</v>
      </c>
      <c r="S15" s="64" t="s">
        <v>62</v>
      </c>
      <c r="T15" s="64" t="s">
        <v>62</v>
      </c>
      <c r="U15" s="64" t="s">
        <v>62</v>
      </c>
      <c r="V15" s="11" t="s">
        <v>395</v>
      </c>
      <c r="W15" s="141"/>
      <c r="X15" s="141"/>
      <c r="Y15" s="141"/>
      <c r="Z15" s="135">
        <v>100</v>
      </c>
      <c r="AA15" s="135">
        <v>100</v>
      </c>
      <c r="AB15" s="135">
        <v>100</v>
      </c>
      <c r="AC15" s="8">
        <f t="shared" si="24"/>
        <v>100</v>
      </c>
      <c r="AD15" s="119">
        <f t="shared" si="4"/>
        <v>25</v>
      </c>
      <c r="AE15" s="119">
        <f t="shared" si="20"/>
        <v>25</v>
      </c>
      <c r="AF15" s="135">
        <v>100</v>
      </c>
      <c r="AG15" s="135">
        <v>100</v>
      </c>
      <c r="AH15" s="135">
        <v>100</v>
      </c>
      <c r="AI15" s="8">
        <f t="shared" si="25"/>
        <v>100</v>
      </c>
      <c r="AJ15" s="119">
        <f t="shared" si="5"/>
        <v>50</v>
      </c>
      <c r="AK15" s="119">
        <f t="shared" si="21"/>
        <v>25</v>
      </c>
      <c r="AL15" s="119">
        <f t="shared" si="6"/>
        <v>50</v>
      </c>
      <c r="AM15" s="135">
        <f t="shared" si="7"/>
        <v>100</v>
      </c>
      <c r="AN15" s="135"/>
      <c r="AO15" s="135"/>
      <c r="AP15" s="8">
        <f t="shared" si="26"/>
        <v>100</v>
      </c>
      <c r="AQ15" s="119">
        <f t="shared" si="8"/>
        <v>75</v>
      </c>
      <c r="AR15" s="119">
        <f t="shared" si="22"/>
        <v>25</v>
      </c>
      <c r="AS15" s="119">
        <f t="shared" si="9"/>
        <v>75</v>
      </c>
      <c r="AT15" s="135"/>
      <c r="AU15" s="135"/>
      <c r="AV15" s="135"/>
      <c r="AW15" s="8" t="e">
        <f t="shared" si="27"/>
        <v>#DIV/0!</v>
      </c>
      <c r="AX15" s="119">
        <f t="shared" si="10"/>
        <v>100</v>
      </c>
      <c r="AY15" s="119" t="e">
        <f t="shared" si="23"/>
        <v>#DIV/0!</v>
      </c>
      <c r="AZ15" s="119" t="e">
        <f t="shared" si="11"/>
        <v>#DIV/0!</v>
      </c>
      <c r="BA15" s="141"/>
    </row>
    <row r="16" spans="1:53" s="2" customFormat="1" ht="39.75" customHeight="1" x14ac:dyDescent="0.2">
      <c r="A16" s="30"/>
      <c r="B16" s="29"/>
      <c r="C16" s="245"/>
      <c r="D16" s="249"/>
      <c r="E16" s="64">
        <v>9</v>
      </c>
      <c r="F16" s="60" t="s">
        <v>260</v>
      </c>
      <c r="G16" s="64" t="s">
        <v>59</v>
      </c>
      <c r="H16" s="64" t="s">
        <v>60</v>
      </c>
      <c r="I16" s="135">
        <v>100</v>
      </c>
      <c r="J16" s="135">
        <v>25</v>
      </c>
      <c r="K16" s="135">
        <v>25</v>
      </c>
      <c r="L16" s="135">
        <v>25</v>
      </c>
      <c r="M16" s="135">
        <v>25</v>
      </c>
      <c r="N16" s="64" t="s">
        <v>66</v>
      </c>
      <c r="O16" s="8"/>
      <c r="P16" s="8" t="s">
        <v>409</v>
      </c>
      <c r="Q16" s="8">
        <v>100</v>
      </c>
      <c r="R16" s="60" t="s">
        <v>403</v>
      </c>
      <c r="S16" s="64" t="s">
        <v>62</v>
      </c>
      <c r="T16" s="64" t="s">
        <v>62</v>
      </c>
      <c r="U16" s="64" t="s">
        <v>62</v>
      </c>
      <c r="V16" s="11" t="s">
        <v>395</v>
      </c>
      <c r="W16" s="141"/>
      <c r="X16" s="141"/>
      <c r="Y16" s="141"/>
      <c r="Z16" s="135">
        <v>100</v>
      </c>
      <c r="AA16" s="135">
        <v>100</v>
      </c>
      <c r="AB16" s="135">
        <v>100</v>
      </c>
      <c r="AC16" s="8">
        <f t="shared" si="24"/>
        <v>100</v>
      </c>
      <c r="AD16" s="119">
        <f t="shared" ref="AD16" si="28">J16</f>
        <v>25</v>
      </c>
      <c r="AE16" s="119">
        <f t="shared" ref="AE16" si="29">(J16*AC16)/I16</f>
        <v>25</v>
      </c>
      <c r="AF16" s="135">
        <v>100</v>
      </c>
      <c r="AG16" s="135">
        <v>100</v>
      </c>
      <c r="AH16" s="135">
        <v>100</v>
      </c>
      <c r="AI16" s="8">
        <f t="shared" ref="AI16" si="30">AVERAGE(AF16:AH16)</f>
        <v>100</v>
      </c>
      <c r="AJ16" s="119">
        <f t="shared" ref="AJ16" si="31">J16+K16</f>
        <v>50</v>
      </c>
      <c r="AK16" s="119">
        <f t="shared" ref="AK16" si="32">(K16*AI16)/I16</f>
        <v>25</v>
      </c>
      <c r="AL16" s="119">
        <f t="shared" ref="AL16" si="33">AE16+AK16</f>
        <v>50</v>
      </c>
      <c r="AM16" s="135">
        <f t="shared" si="7"/>
        <v>100</v>
      </c>
      <c r="AN16" s="135"/>
      <c r="AO16" s="135"/>
      <c r="AP16" s="8"/>
      <c r="AQ16" s="119"/>
      <c r="AR16" s="119"/>
      <c r="AS16" s="119"/>
      <c r="AT16" s="135"/>
      <c r="AU16" s="135"/>
      <c r="AV16" s="135"/>
      <c r="AW16" s="8"/>
      <c r="AX16" s="119"/>
      <c r="AY16" s="119"/>
      <c r="AZ16" s="119"/>
      <c r="BA16" s="141"/>
    </row>
    <row r="17" spans="1:53" s="2" customFormat="1" ht="41.25" customHeight="1" x14ac:dyDescent="0.2">
      <c r="A17" s="30"/>
      <c r="B17" s="29"/>
      <c r="C17" s="245"/>
      <c r="D17" s="161" t="s">
        <v>80</v>
      </c>
      <c r="E17" s="64">
        <v>10</v>
      </c>
      <c r="F17" s="60" t="s">
        <v>81</v>
      </c>
      <c r="G17" s="64" t="s">
        <v>59</v>
      </c>
      <c r="H17" s="64" t="s">
        <v>82</v>
      </c>
      <c r="I17" s="135">
        <v>29</v>
      </c>
      <c r="J17" s="135">
        <v>8</v>
      </c>
      <c r="K17" s="135">
        <v>7</v>
      </c>
      <c r="L17" s="135">
        <v>7</v>
      </c>
      <c r="M17" s="135">
        <v>7</v>
      </c>
      <c r="N17" s="64" t="s">
        <v>66</v>
      </c>
      <c r="O17" s="64"/>
      <c r="P17" s="8" t="s">
        <v>409</v>
      </c>
      <c r="Q17" s="8">
        <v>3</v>
      </c>
      <c r="R17" s="12" t="s">
        <v>397</v>
      </c>
      <c r="S17" s="64" t="s">
        <v>62</v>
      </c>
      <c r="T17" s="64" t="s">
        <v>62</v>
      </c>
      <c r="U17" s="64" t="s">
        <v>62</v>
      </c>
      <c r="V17" s="11" t="s">
        <v>458</v>
      </c>
      <c r="W17" s="141"/>
      <c r="X17" s="141"/>
      <c r="Y17" s="141"/>
      <c r="Z17" s="135">
        <v>3</v>
      </c>
      <c r="AA17" s="135">
        <v>2</v>
      </c>
      <c r="AB17" s="135">
        <v>3</v>
      </c>
      <c r="AC17" s="8">
        <f t="shared" ref="AC17:AC18" si="34">SUM(Z17:AB17)</f>
        <v>8</v>
      </c>
      <c r="AD17" s="119">
        <f t="shared" si="4"/>
        <v>8</v>
      </c>
      <c r="AE17" s="120">
        <f t="shared" ref="AE17:AE18" si="35">AC17</f>
        <v>8</v>
      </c>
      <c r="AF17" s="135">
        <v>3</v>
      </c>
      <c r="AG17" s="135">
        <v>2</v>
      </c>
      <c r="AH17" s="135">
        <v>2</v>
      </c>
      <c r="AI17" s="8">
        <f t="shared" ref="AI17:AI18" si="36">SUM(AF17:AH17)</f>
        <v>7</v>
      </c>
      <c r="AJ17" s="119">
        <f t="shared" si="5"/>
        <v>15</v>
      </c>
      <c r="AK17" s="120">
        <f t="shared" ref="AK17:AK18" si="37">AI17</f>
        <v>7</v>
      </c>
      <c r="AL17" s="119">
        <f t="shared" si="6"/>
        <v>15</v>
      </c>
      <c r="AM17" s="135">
        <f t="shared" si="7"/>
        <v>3</v>
      </c>
      <c r="AN17" s="135"/>
      <c r="AO17" s="135"/>
      <c r="AP17" s="8">
        <f t="shared" ref="AP17:AP18" si="38">SUM(AM17:AO17)</f>
        <v>3</v>
      </c>
      <c r="AQ17" s="119">
        <f t="shared" si="8"/>
        <v>22</v>
      </c>
      <c r="AR17" s="120">
        <f t="shared" ref="AR17:AR18" si="39">AP17</f>
        <v>3</v>
      </c>
      <c r="AS17" s="119">
        <f t="shared" si="9"/>
        <v>18</v>
      </c>
      <c r="AT17" s="135"/>
      <c r="AU17" s="135"/>
      <c r="AV17" s="135"/>
      <c r="AW17" s="8">
        <f t="shared" ref="AW17:AW18" si="40">SUM(AT17:AV17)</f>
        <v>0</v>
      </c>
      <c r="AX17" s="119">
        <f t="shared" si="10"/>
        <v>29</v>
      </c>
      <c r="AY17" s="120">
        <f t="shared" ref="AY17:AY18" si="41">AW17</f>
        <v>0</v>
      </c>
      <c r="AZ17" s="119">
        <f t="shared" si="11"/>
        <v>18</v>
      </c>
      <c r="BA17" s="141"/>
    </row>
    <row r="18" spans="1:53" s="2" customFormat="1" ht="41.25" customHeight="1" x14ac:dyDescent="0.2">
      <c r="A18" s="30"/>
      <c r="B18" s="31"/>
      <c r="C18" s="245"/>
      <c r="D18" s="166" t="s">
        <v>83</v>
      </c>
      <c r="E18" s="64">
        <v>11</v>
      </c>
      <c r="F18" s="60" t="s">
        <v>84</v>
      </c>
      <c r="G18" s="163" t="s">
        <v>59</v>
      </c>
      <c r="H18" s="163" t="s">
        <v>73</v>
      </c>
      <c r="I18" s="167">
        <v>0</v>
      </c>
      <c r="J18" s="167">
        <v>0</v>
      </c>
      <c r="K18" s="167">
        <v>0</v>
      </c>
      <c r="L18" s="167">
        <v>0</v>
      </c>
      <c r="M18" s="167">
        <v>0</v>
      </c>
      <c r="N18" s="242" t="s">
        <v>61</v>
      </c>
      <c r="O18" s="243"/>
      <c r="P18" s="8" t="s">
        <v>409</v>
      </c>
      <c r="Q18" s="8">
        <v>0</v>
      </c>
      <c r="R18" s="12" t="s">
        <v>467</v>
      </c>
      <c r="S18" s="64" t="s">
        <v>62</v>
      </c>
      <c r="T18" s="64" t="s">
        <v>62</v>
      </c>
      <c r="U18" s="64" t="s">
        <v>62</v>
      </c>
      <c r="V18" s="11" t="s">
        <v>347</v>
      </c>
      <c r="W18" s="141"/>
      <c r="X18" s="141"/>
      <c r="Y18" s="141"/>
      <c r="Z18" s="135">
        <v>0</v>
      </c>
      <c r="AA18" s="135">
        <v>1</v>
      </c>
      <c r="AB18" s="135">
        <v>0</v>
      </c>
      <c r="AC18" s="8">
        <f t="shared" si="34"/>
        <v>1</v>
      </c>
      <c r="AD18" s="119">
        <f t="shared" si="4"/>
        <v>0</v>
      </c>
      <c r="AE18" s="120">
        <f t="shared" si="35"/>
        <v>1</v>
      </c>
      <c r="AF18" s="135">
        <v>3</v>
      </c>
      <c r="AG18" s="135">
        <v>0</v>
      </c>
      <c r="AH18" s="135">
        <v>1</v>
      </c>
      <c r="AI18" s="8">
        <f t="shared" si="36"/>
        <v>4</v>
      </c>
      <c r="AJ18" s="119">
        <f t="shared" si="5"/>
        <v>0</v>
      </c>
      <c r="AK18" s="120">
        <f t="shared" si="37"/>
        <v>4</v>
      </c>
      <c r="AL18" s="119">
        <f t="shared" si="6"/>
        <v>5</v>
      </c>
      <c r="AM18" s="135">
        <f t="shared" si="7"/>
        <v>0</v>
      </c>
      <c r="AN18" s="135"/>
      <c r="AO18" s="135"/>
      <c r="AP18" s="8">
        <f t="shared" si="38"/>
        <v>0</v>
      </c>
      <c r="AQ18" s="119">
        <f t="shared" si="8"/>
        <v>0</v>
      </c>
      <c r="AR18" s="120">
        <f t="shared" si="39"/>
        <v>0</v>
      </c>
      <c r="AS18" s="119">
        <f t="shared" si="9"/>
        <v>5</v>
      </c>
      <c r="AT18" s="135"/>
      <c r="AU18" s="135"/>
      <c r="AV18" s="135"/>
      <c r="AW18" s="8">
        <f t="shared" si="40"/>
        <v>0</v>
      </c>
      <c r="AX18" s="119">
        <f t="shared" si="10"/>
        <v>0</v>
      </c>
      <c r="AY18" s="120">
        <f t="shared" si="41"/>
        <v>0</v>
      </c>
      <c r="AZ18" s="119">
        <f t="shared" si="11"/>
        <v>5</v>
      </c>
      <c r="BA18" s="141"/>
    </row>
    <row r="19" spans="1:53" s="2" customFormat="1" ht="36.75" customHeight="1" x14ac:dyDescent="0.2">
      <c r="A19" s="30"/>
      <c r="B19" s="31"/>
      <c r="C19" s="245"/>
      <c r="D19" s="247" t="s">
        <v>85</v>
      </c>
      <c r="E19" s="64">
        <v>12</v>
      </c>
      <c r="F19" s="60" t="s">
        <v>86</v>
      </c>
      <c r="G19" s="64" t="s">
        <v>59</v>
      </c>
      <c r="H19" s="64" t="s">
        <v>60</v>
      </c>
      <c r="I19" s="135">
        <v>100</v>
      </c>
      <c r="J19" s="135">
        <v>25</v>
      </c>
      <c r="K19" s="135">
        <v>25</v>
      </c>
      <c r="L19" s="135">
        <v>25</v>
      </c>
      <c r="M19" s="135">
        <v>25</v>
      </c>
      <c r="N19" s="64" t="s">
        <v>66</v>
      </c>
      <c r="O19" s="164"/>
      <c r="P19" s="8" t="s">
        <v>409</v>
      </c>
      <c r="Q19" s="8">
        <v>100</v>
      </c>
      <c r="R19" s="12" t="s">
        <v>398</v>
      </c>
      <c r="S19" s="64" t="s">
        <v>62</v>
      </c>
      <c r="T19" s="64" t="s">
        <v>62</v>
      </c>
      <c r="U19" s="64" t="s">
        <v>62</v>
      </c>
      <c r="V19" s="11" t="s">
        <v>399</v>
      </c>
      <c r="W19" s="141"/>
      <c r="X19" s="141"/>
      <c r="Y19" s="141"/>
      <c r="Z19" s="135">
        <v>100</v>
      </c>
      <c r="AA19" s="135">
        <v>100</v>
      </c>
      <c r="AB19" s="135">
        <v>100</v>
      </c>
      <c r="AC19" s="8">
        <f>AVERAGE(Z19:AB19)</f>
        <v>100</v>
      </c>
      <c r="AD19" s="119">
        <f t="shared" si="4"/>
        <v>25</v>
      </c>
      <c r="AE19" s="119">
        <f t="shared" ref="AE19:AE20" si="42">(J19*AC19)/I19</f>
        <v>25</v>
      </c>
      <c r="AF19" s="135">
        <v>100</v>
      </c>
      <c r="AG19" s="135">
        <v>100</v>
      </c>
      <c r="AH19" s="135">
        <v>100</v>
      </c>
      <c r="AI19" s="8">
        <f>AVERAGE(AF19:AH19)</f>
        <v>100</v>
      </c>
      <c r="AJ19" s="119">
        <f t="shared" si="5"/>
        <v>50</v>
      </c>
      <c r="AK19" s="119">
        <f t="shared" ref="AK19:AK20" si="43">(K19*AI19)/I19</f>
        <v>25</v>
      </c>
      <c r="AL19" s="119">
        <f t="shared" si="6"/>
        <v>50</v>
      </c>
      <c r="AM19" s="135">
        <f t="shared" si="7"/>
        <v>100</v>
      </c>
      <c r="AN19" s="135"/>
      <c r="AO19" s="135"/>
      <c r="AP19" s="8">
        <f>AVERAGE(AM19:AO19)</f>
        <v>100</v>
      </c>
      <c r="AQ19" s="119">
        <f t="shared" si="8"/>
        <v>75</v>
      </c>
      <c r="AR19" s="119">
        <f t="shared" ref="AR19:AR20" si="44">(L19*AP19)/I19</f>
        <v>25</v>
      </c>
      <c r="AS19" s="119">
        <f t="shared" si="9"/>
        <v>75</v>
      </c>
      <c r="AT19" s="135"/>
      <c r="AU19" s="135"/>
      <c r="AV19" s="135"/>
      <c r="AW19" s="8" t="e">
        <f>AVERAGE(AT19:AV19)</f>
        <v>#DIV/0!</v>
      </c>
      <c r="AX19" s="119">
        <f t="shared" si="10"/>
        <v>100</v>
      </c>
      <c r="AY19" s="119" t="e">
        <f t="shared" ref="AY19:AY20" si="45">(M19*AW19)/I19</f>
        <v>#DIV/0!</v>
      </c>
      <c r="AZ19" s="119" t="e">
        <f t="shared" si="11"/>
        <v>#DIV/0!</v>
      </c>
      <c r="BA19" s="141"/>
    </row>
    <row r="20" spans="1:53" s="2" customFormat="1" ht="36" customHeight="1" x14ac:dyDescent="0.2">
      <c r="A20" s="30"/>
      <c r="B20" s="31"/>
      <c r="C20" s="246"/>
      <c r="D20" s="249"/>
      <c r="E20" s="64">
        <v>13</v>
      </c>
      <c r="F20" s="60" t="s">
        <v>87</v>
      </c>
      <c r="G20" s="64" t="s">
        <v>59</v>
      </c>
      <c r="H20" s="64" t="s">
        <v>60</v>
      </c>
      <c r="I20" s="135">
        <v>100</v>
      </c>
      <c r="J20" s="135">
        <v>25</v>
      </c>
      <c r="K20" s="135">
        <v>25</v>
      </c>
      <c r="L20" s="135">
        <v>25</v>
      </c>
      <c r="M20" s="135">
        <v>25</v>
      </c>
      <c r="N20" s="64" t="s">
        <v>66</v>
      </c>
      <c r="O20" s="164"/>
      <c r="P20" s="8" t="s">
        <v>409</v>
      </c>
      <c r="Q20" s="8">
        <v>100</v>
      </c>
      <c r="R20" s="12" t="s">
        <v>400</v>
      </c>
      <c r="S20" s="64" t="s">
        <v>62</v>
      </c>
      <c r="T20" s="64" t="s">
        <v>62</v>
      </c>
      <c r="U20" s="64" t="s">
        <v>62</v>
      </c>
      <c r="V20" s="11" t="s">
        <v>399</v>
      </c>
      <c r="W20" s="141"/>
      <c r="X20" s="141"/>
      <c r="Y20" s="141"/>
      <c r="Z20" s="135">
        <v>100</v>
      </c>
      <c r="AA20" s="135">
        <v>100</v>
      </c>
      <c r="AB20" s="135">
        <v>100</v>
      </c>
      <c r="AC20" s="8">
        <f>AVERAGE(Z20:AB20)</f>
        <v>100</v>
      </c>
      <c r="AD20" s="119">
        <f t="shared" si="4"/>
        <v>25</v>
      </c>
      <c r="AE20" s="119">
        <f t="shared" si="42"/>
        <v>25</v>
      </c>
      <c r="AF20" s="135">
        <v>100</v>
      </c>
      <c r="AG20" s="135">
        <v>100</v>
      </c>
      <c r="AH20" s="135">
        <v>100</v>
      </c>
      <c r="AI20" s="8">
        <f>AVERAGE(AF20:AH20)</f>
        <v>100</v>
      </c>
      <c r="AJ20" s="119">
        <f t="shared" si="5"/>
        <v>50</v>
      </c>
      <c r="AK20" s="119">
        <f t="shared" si="43"/>
        <v>25</v>
      </c>
      <c r="AL20" s="119">
        <f t="shared" si="6"/>
        <v>50</v>
      </c>
      <c r="AM20" s="135">
        <f t="shared" si="7"/>
        <v>100</v>
      </c>
      <c r="AN20" s="135"/>
      <c r="AO20" s="135"/>
      <c r="AP20" s="8">
        <f>AVERAGE(AM20:AO20)</f>
        <v>100</v>
      </c>
      <c r="AQ20" s="119">
        <f t="shared" si="8"/>
        <v>75</v>
      </c>
      <c r="AR20" s="119">
        <f t="shared" si="44"/>
        <v>25</v>
      </c>
      <c r="AS20" s="119">
        <f t="shared" si="9"/>
        <v>75</v>
      </c>
      <c r="AT20" s="135"/>
      <c r="AU20" s="135"/>
      <c r="AV20" s="135"/>
      <c r="AW20" s="8" t="e">
        <f>AVERAGE(AT20:AV20)</f>
        <v>#DIV/0!</v>
      </c>
      <c r="AX20" s="119">
        <f t="shared" si="10"/>
        <v>100</v>
      </c>
      <c r="AY20" s="119" t="e">
        <f t="shared" si="45"/>
        <v>#DIV/0!</v>
      </c>
      <c r="AZ20" s="119" t="e">
        <f t="shared" si="11"/>
        <v>#DIV/0!</v>
      </c>
      <c r="BA20" s="141"/>
    </row>
    <row r="21" spans="1:53" s="2" customFormat="1" ht="43.5" customHeight="1" x14ac:dyDescent="0.2">
      <c r="A21" s="30"/>
      <c r="B21" s="31"/>
      <c r="C21" s="160" t="s">
        <v>88</v>
      </c>
      <c r="D21" s="161" t="s">
        <v>89</v>
      </c>
      <c r="E21" s="64">
        <v>14</v>
      </c>
      <c r="F21" s="60" t="s">
        <v>90</v>
      </c>
      <c r="G21" s="163" t="s">
        <v>91</v>
      </c>
      <c r="H21" s="163" t="s">
        <v>92</v>
      </c>
      <c r="I21" s="167">
        <v>1</v>
      </c>
      <c r="J21" s="135">
        <v>1</v>
      </c>
      <c r="K21" s="135">
        <v>0</v>
      </c>
      <c r="L21" s="135">
        <v>0</v>
      </c>
      <c r="M21" s="135">
        <v>0</v>
      </c>
      <c r="N21" s="64" t="s">
        <v>66</v>
      </c>
      <c r="O21" s="64"/>
      <c r="P21" s="8" t="s">
        <v>409</v>
      </c>
      <c r="Q21" s="8">
        <v>0</v>
      </c>
      <c r="R21" s="78" t="s">
        <v>437</v>
      </c>
      <c r="S21" s="64" t="s">
        <v>62</v>
      </c>
      <c r="T21" s="64" t="s">
        <v>62</v>
      </c>
      <c r="U21" s="64" t="s">
        <v>62</v>
      </c>
      <c r="V21" s="11" t="s">
        <v>364</v>
      </c>
      <c r="W21" s="141"/>
      <c r="X21" s="141"/>
      <c r="Y21" s="141"/>
      <c r="Z21" s="135">
        <v>0</v>
      </c>
      <c r="AA21" s="135">
        <v>0</v>
      </c>
      <c r="AB21" s="135">
        <v>0</v>
      </c>
      <c r="AC21" s="8">
        <f>SUM(Z21:AB21)</f>
        <v>0</v>
      </c>
      <c r="AD21" s="119">
        <f t="shared" si="4"/>
        <v>1</v>
      </c>
      <c r="AE21" s="120">
        <f>AC21</f>
        <v>0</v>
      </c>
      <c r="AF21" s="135">
        <v>0</v>
      </c>
      <c r="AG21" s="135">
        <v>0</v>
      </c>
      <c r="AH21" s="135">
        <v>1</v>
      </c>
      <c r="AI21" s="8">
        <f>SUM(AF21:AH21)</f>
        <v>1</v>
      </c>
      <c r="AJ21" s="119">
        <f t="shared" si="5"/>
        <v>1</v>
      </c>
      <c r="AK21" s="120">
        <f>AI21</f>
        <v>1</v>
      </c>
      <c r="AL21" s="119">
        <f t="shared" si="6"/>
        <v>1</v>
      </c>
      <c r="AM21" s="135">
        <f t="shared" si="7"/>
        <v>0</v>
      </c>
      <c r="AN21" s="135"/>
      <c r="AO21" s="135"/>
      <c r="AP21" s="8">
        <f>SUM(AM21:AO21)</f>
        <v>0</v>
      </c>
      <c r="AQ21" s="119">
        <f t="shared" si="8"/>
        <v>1</v>
      </c>
      <c r="AR21" s="120">
        <f>AP21</f>
        <v>0</v>
      </c>
      <c r="AS21" s="119">
        <f t="shared" si="9"/>
        <v>1</v>
      </c>
      <c r="AT21" s="135"/>
      <c r="AU21" s="135"/>
      <c r="AV21" s="135"/>
      <c r="AW21" s="8">
        <f>SUM(AT21:AV21)</f>
        <v>0</v>
      </c>
      <c r="AX21" s="119">
        <f t="shared" si="10"/>
        <v>1</v>
      </c>
      <c r="AY21" s="120">
        <f>AW21</f>
        <v>0</v>
      </c>
      <c r="AZ21" s="119">
        <f t="shared" si="11"/>
        <v>1</v>
      </c>
      <c r="BA21" s="141"/>
    </row>
    <row r="22" spans="1:53" s="2" customFormat="1" ht="44.25" customHeight="1" x14ac:dyDescent="0.2">
      <c r="A22" s="5">
        <v>3</v>
      </c>
      <c r="B22" s="4" t="s">
        <v>93</v>
      </c>
      <c r="C22" s="244" t="s">
        <v>70</v>
      </c>
      <c r="D22" s="247" t="s">
        <v>94</v>
      </c>
      <c r="E22" s="64">
        <v>15</v>
      </c>
      <c r="F22" s="60" t="s">
        <v>95</v>
      </c>
      <c r="G22" s="64" t="s">
        <v>59</v>
      </c>
      <c r="H22" s="64" t="s">
        <v>60</v>
      </c>
      <c r="I22" s="135">
        <v>100</v>
      </c>
      <c r="J22" s="135">
        <v>25</v>
      </c>
      <c r="K22" s="135">
        <v>25</v>
      </c>
      <c r="L22" s="135">
        <v>25</v>
      </c>
      <c r="M22" s="135">
        <v>25</v>
      </c>
      <c r="N22" s="64" t="s">
        <v>66</v>
      </c>
      <c r="O22" s="64"/>
      <c r="P22" s="8" t="s">
        <v>409</v>
      </c>
      <c r="Q22" s="8">
        <v>100</v>
      </c>
      <c r="R22" s="12" t="s">
        <v>383</v>
      </c>
      <c r="S22" s="64" t="s">
        <v>62</v>
      </c>
      <c r="T22" s="64" t="s">
        <v>62</v>
      </c>
      <c r="U22" s="64" t="s">
        <v>62</v>
      </c>
      <c r="V22" s="11" t="s">
        <v>384</v>
      </c>
      <c r="W22" s="141"/>
      <c r="X22" s="141"/>
      <c r="Y22" s="141"/>
      <c r="Z22" s="135">
        <v>100</v>
      </c>
      <c r="AA22" s="135">
        <v>100</v>
      </c>
      <c r="AB22" s="135">
        <v>100</v>
      </c>
      <c r="AC22" s="8">
        <f t="shared" ref="AC22:AC36" si="46">AVERAGE(Z22:AB22)</f>
        <v>100</v>
      </c>
      <c r="AD22" s="119">
        <f t="shared" si="4"/>
        <v>25</v>
      </c>
      <c r="AE22" s="119">
        <f t="shared" ref="AE22:AE25" si="47">(J22*AC22)/I22</f>
        <v>25</v>
      </c>
      <c r="AF22" s="135">
        <v>100</v>
      </c>
      <c r="AG22" s="135">
        <v>100</v>
      </c>
      <c r="AH22" s="135">
        <v>100</v>
      </c>
      <c r="AI22" s="8">
        <f t="shared" ref="AI22:AI25" si="48">AVERAGE(AF22:AH22)</f>
        <v>100</v>
      </c>
      <c r="AJ22" s="119">
        <f t="shared" si="5"/>
        <v>50</v>
      </c>
      <c r="AK22" s="119">
        <f t="shared" ref="AK22:AK25" si="49">(K22*AI22)/I22</f>
        <v>25</v>
      </c>
      <c r="AL22" s="119">
        <f t="shared" si="6"/>
        <v>50</v>
      </c>
      <c r="AM22" s="135">
        <f t="shared" si="7"/>
        <v>100</v>
      </c>
      <c r="AN22" s="135"/>
      <c r="AO22" s="135"/>
      <c r="AP22" s="8">
        <f t="shared" ref="AP22:AP25" si="50">AVERAGE(AM22:AO22)</f>
        <v>100</v>
      </c>
      <c r="AQ22" s="119">
        <f t="shared" si="8"/>
        <v>75</v>
      </c>
      <c r="AR22" s="119">
        <f t="shared" ref="AR22:AR25" si="51">(L22*AP22)/I22</f>
        <v>25</v>
      </c>
      <c r="AS22" s="119">
        <f t="shared" si="9"/>
        <v>75</v>
      </c>
      <c r="AT22" s="135"/>
      <c r="AU22" s="135"/>
      <c r="AV22" s="135"/>
      <c r="AW22" s="8" t="e">
        <f t="shared" ref="AW22:AW25" si="52">AVERAGE(AT22:AV22)</f>
        <v>#DIV/0!</v>
      </c>
      <c r="AX22" s="119">
        <f t="shared" si="10"/>
        <v>100</v>
      </c>
      <c r="AY22" s="119" t="e">
        <f t="shared" ref="AY22:AY25" si="53">(M22*AW22)/I22</f>
        <v>#DIV/0!</v>
      </c>
      <c r="AZ22" s="119" t="e">
        <f t="shared" si="11"/>
        <v>#DIV/0!</v>
      </c>
      <c r="BA22" s="141"/>
    </row>
    <row r="23" spans="1:53" s="2" customFormat="1" ht="42.75" customHeight="1" x14ac:dyDescent="0.2">
      <c r="A23" s="30"/>
      <c r="B23" s="31"/>
      <c r="C23" s="245"/>
      <c r="D23" s="248"/>
      <c r="E23" s="64">
        <v>16</v>
      </c>
      <c r="F23" s="60" t="s">
        <v>96</v>
      </c>
      <c r="G23" s="64" t="s">
        <v>59</v>
      </c>
      <c r="H23" s="64" t="s">
        <v>60</v>
      </c>
      <c r="I23" s="135">
        <v>95</v>
      </c>
      <c r="J23" s="135">
        <v>24</v>
      </c>
      <c r="K23" s="135">
        <v>24</v>
      </c>
      <c r="L23" s="135">
        <v>24</v>
      </c>
      <c r="M23" s="135">
        <v>23</v>
      </c>
      <c r="N23" s="64" t="s">
        <v>66</v>
      </c>
      <c r="O23" s="64"/>
      <c r="P23" s="8" t="s">
        <v>409</v>
      </c>
      <c r="Q23" s="8">
        <v>97</v>
      </c>
      <c r="R23" s="12" t="s">
        <v>459</v>
      </c>
      <c r="S23" s="64" t="s">
        <v>62</v>
      </c>
      <c r="T23" s="64" t="s">
        <v>62</v>
      </c>
      <c r="U23" s="64" t="s">
        <v>62</v>
      </c>
      <c r="V23" s="11" t="s">
        <v>384</v>
      </c>
      <c r="W23" s="141"/>
      <c r="X23" s="141"/>
      <c r="Y23" s="141"/>
      <c r="Z23" s="135">
        <v>96</v>
      </c>
      <c r="AA23" s="135">
        <v>100</v>
      </c>
      <c r="AB23" s="135">
        <v>96</v>
      </c>
      <c r="AC23" s="8">
        <f t="shared" si="46"/>
        <v>97.333333333333329</v>
      </c>
      <c r="AD23" s="119">
        <f t="shared" si="4"/>
        <v>24</v>
      </c>
      <c r="AE23" s="119">
        <f t="shared" si="47"/>
        <v>24.589473684210525</v>
      </c>
      <c r="AF23" s="135">
        <v>95</v>
      </c>
      <c r="AG23" s="135">
        <v>100</v>
      </c>
      <c r="AH23" s="135">
        <v>100</v>
      </c>
      <c r="AI23" s="8">
        <f t="shared" si="48"/>
        <v>98.333333333333329</v>
      </c>
      <c r="AJ23" s="119">
        <f t="shared" si="5"/>
        <v>48</v>
      </c>
      <c r="AK23" s="119">
        <f t="shared" si="49"/>
        <v>24.842105263157894</v>
      </c>
      <c r="AL23" s="119">
        <f t="shared" si="6"/>
        <v>49.431578947368422</v>
      </c>
      <c r="AM23" s="135">
        <f t="shared" si="7"/>
        <v>97</v>
      </c>
      <c r="AN23" s="135"/>
      <c r="AO23" s="135"/>
      <c r="AP23" s="8">
        <f t="shared" si="50"/>
        <v>97</v>
      </c>
      <c r="AQ23" s="119">
        <f t="shared" si="8"/>
        <v>72</v>
      </c>
      <c r="AR23" s="119">
        <f t="shared" si="51"/>
        <v>24.505263157894738</v>
      </c>
      <c r="AS23" s="119">
        <f t="shared" si="9"/>
        <v>73.936842105263167</v>
      </c>
      <c r="AT23" s="135"/>
      <c r="AU23" s="135"/>
      <c r="AV23" s="135"/>
      <c r="AW23" s="8" t="e">
        <f t="shared" si="52"/>
        <v>#DIV/0!</v>
      </c>
      <c r="AX23" s="119">
        <f t="shared" si="10"/>
        <v>95</v>
      </c>
      <c r="AY23" s="119" t="e">
        <f t="shared" si="53"/>
        <v>#DIV/0!</v>
      </c>
      <c r="AZ23" s="119" t="e">
        <f t="shared" si="11"/>
        <v>#DIV/0!</v>
      </c>
      <c r="BA23" s="141"/>
    </row>
    <row r="24" spans="1:53" s="2" customFormat="1" ht="36.75" customHeight="1" x14ac:dyDescent="0.2">
      <c r="A24" s="30"/>
      <c r="B24" s="31"/>
      <c r="C24" s="245"/>
      <c r="D24" s="249"/>
      <c r="E24" s="64">
        <v>17</v>
      </c>
      <c r="F24" s="136" t="s">
        <v>97</v>
      </c>
      <c r="G24" s="64" t="s">
        <v>59</v>
      </c>
      <c r="H24" s="64" t="s">
        <v>60</v>
      </c>
      <c r="I24" s="135">
        <v>95</v>
      </c>
      <c r="J24" s="168">
        <v>24</v>
      </c>
      <c r="K24" s="168">
        <v>24</v>
      </c>
      <c r="L24" s="168">
        <v>24</v>
      </c>
      <c r="M24" s="168">
        <v>23</v>
      </c>
      <c r="N24" s="169"/>
      <c r="O24" s="169" t="s">
        <v>66</v>
      </c>
      <c r="P24" s="8" t="s">
        <v>409</v>
      </c>
      <c r="Q24" s="8">
        <v>100</v>
      </c>
      <c r="R24" s="12" t="s">
        <v>385</v>
      </c>
      <c r="S24" s="64" t="s">
        <v>62</v>
      </c>
      <c r="T24" s="64" t="s">
        <v>62</v>
      </c>
      <c r="U24" s="64" t="s">
        <v>62</v>
      </c>
      <c r="V24" s="11" t="s">
        <v>384</v>
      </c>
      <c r="W24" s="141"/>
      <c r="X24" s="141"/>
      <c r="Y24" s="141"/>
      <c r="Z24" s="135">
        <v>100</v>
      </c>
      <c r="AA24" s="135">
        <v>100</v>
      </c>
      <c r="AB24" s="135">
        <v>100</v>
      </c>
      <c r="AC24" s="8">
        <f t="shared" si="46"/>
        <v>100</v>
      </c>
      <c r="AD24" s="119">
        <f t="shared" si="4"/>
        <v>24</v>
      </c>
      <c r="AE24" s="119">
        <f t="shared" si="47"/>
        <v>25.263157894736842</v>
      </c>
      <c r="AF24" s="135">
        <v>100</v>
      </c>
      <c r="AG24" s="135">
        <v>100</v>
      </c>
      <c r="AH24" s="135">
        <v>100</v>
      </c>
      <c r="AI24" s="8">
        <f t="shared" si="48"/>
        <v>100</v>
      </c>
      <c r="AJ24" s="119">
        <f t="shared" si="5"/>
        <v>48</v>
      </c>
      <c r="AK24" s="119">
        <f t="shared" si="49"/>
        <v>25.263157894736842</v>
      </c>
      <c r="AL24" s="119">
        <f t="shared" si="6"/>
        <v>50.526315789473685</v>
      </c>
      <c r="AM24" s="135">
        <f t="shared" si="7"/>
        <v>100</v>
      </c>
      <c r="AN24" s="135"/>
      <c r="AO24" s="135"/>
      <c r="AP24" s="8">
        <f t="shared" si="50"/>
        <v>100</v>
      </c>
      <c r="AQ24" s="119">
        <f t="shared" si="8"/>
        <v>72</v>
      </c>
      <c r="AR24" s="119">
        <f t="shared" si="51"/>
        <v>25.263157894736842</v>
      </c>
      <c r="AS24" s="119">
        <f t="shared" si="9"/>
        <v>75.78947368421052</v>
      </c>
      <c r="AT24" s="135"/>
      <c r="AU24" s="135"/>
      <c r="AV24" s="135"/>
      <c r="AW24" s="8" t="e">
        <f t="shared" si="52"/>
        <v>#DIV/0!</v>
      </c>
      <c r="AX24" s="119">
        <f t="shared" si="10"/>
        <v>95</v>
      </c>
      <c r="AY24" s="119" t="e">
        <f t="shared" si="53"/>
        <v>#DIV/0!</v>
      </c>
      <c r="AZ24" s="119" t="e">
        <f t="shared" si="11"/>
        <v>#DIV/0!</v>
      </c>
      <c r="BA24" s="141"/>
    </row>
    <row r="25" spans="1:53" s="2" customFormat="1" ht="36.75" customHeight="1" x14ac:dyDescent="0.2">
      <c r="A25" s="30"/>
      <c r="B25" s="31"/>
      <c r="C25" s="245"/>
      <c r="D25" s="170" t="s">
        <v>83</v>
      </c>
      <c r="E25" s="64">
        <v>18</v>
      </c>
      <c r="F25" s="136" t="s">
        <v>98</v>
      </c>
      <c r="G25" s="169" t="s">
        <v>59</v>
      </c>
      <c r="H25" s="169" t="s">
        <v>60</v>
      </c>
      <c r="I25" s="168">
        <v>100</v>
      </c>
      <c r="J25" s="135">
        <v>25</v>
      </c>
      <c r="K25" s="135">
        <v>25</v>
      </c>
      <c r="L25" s="135">
        <v>25</v>
      </c>
      <c r="M25" s="135">
        <v>25</v>
      </c>
      <c r="N25" s="169" t="s">
        <v>66</v>
      </c>
      <c r="O25" s="160"/>
      <c r="P25" s="8" t="s">
        <v>409</v>
      </c>
      <c r="Q25" s="8">
        <v>100</v>
      </c>
      <c r="R25" s="12" t="s">
        <v>386</v>
      </c>
      <c r="S25" s="64" t="s">
        <v>62</v>
      </c>
      <c r="T25" s="64" t="s">
        <v>62</v>
      </c>
      <c r="U25" s="64" t="s">
        <v>62</v>
      </c>
      <c r="V25" s="11" t="s">
        <v>347</v>
      </c>
      <c r="W25" s="141"/>
      <c r="X25" s="141"/>
      <c r="Y25" s="141"/>
      <c r="Z25" s="135">
        <v>100</v>
      </c>
      <c r="AA25" s="135">
        <v>100</v>
      </c>
      <c r="AB25" s="135">
        <v>100</v>
      </c>
      <c r="AC25" s="8">
        <f t="shared" si="46"/>
        <v>100</v>
      </c>
      <c r="AD25" s="119">
        <f t="shared" si="4"/>
        <v>25</v>
      </c>
      <c r="AE25" s="119">
        <f t="shared" si="47"/>
        <v>25</v>
      </c>
      <c r="AF25" s="135">
        <v>100</v>
      </c>
      <c r="AG25" s="135">
        <v>100</v>
      </c>
      <c r="AH25" s="135">
        <v>100</v>
      </c>
      <c r="AI25" s="8">
        <f t="shared" si="48"/>
        <v>100</v>
      </c>
      <c r="AJ25" s="119">
        <f t="shared" si="5"/>
        <v>50</v>
      </c>
      <c r="AK25" s="119">
        <f t="shared" si="49"/>
        <v>25</v>
      </c>
      <c r="AL25" s="119">
        <f t="shared" si="6"/>
        <v>50</v>
      </c>
      <c r="AM25" s="135">
        <f t="shared" si="7"/>
        <v>100</v>
      </c>
      <c r="AN25" s="135"/>
      <c r="AO25" s="135"/>
      <c r="AP25" s="8">
        <f t="shared" si="50"/>
        <v>100</v>
      </c>
      <c r="AQ25" s="119">
        <f t="shared" si="8"/>
        <v>75</v>
      </c>
      <c r="AR25" s="119">
        <f t="shared" si="51"/>
        <v>25</v>
      </c>
      <c r="AS25" s="119">
        <f t="shared" si="9"/>
        <v>75</v>
      </c>
      <c r="AT25" s="135"/>
      <c r="AU25" s="135"/>
      <c r="AV25" s="135"/>
      <c r="AW25" s="8" t="e">
        <f t="shared" si="52"/>
        <v>#DIV/0!</v>
      </c>
      <c r="AX25" s="119">
        <f t="shared" si="10"/>
        <v>100</v>
      </c>
      <c r="AY25" s="119" t="e">
        <f t="shared" si="53"/>
        <v>#DIV/0!</v>
      </c>
      <c r="AZ25" s="119" t="e">
        <f t="shared" si="11"/>
        <v>#DIV/0!</v>
      </c>
      <c r="BA25" s="141"/>
    </row>
    <row r="26" spans="1:53" s="2" customFormat="1" ht="39.75" customHeight="1" x14ac:dyDescent="0.2">
      <c r="A26" s="30"/>
      <c r="B26" s="31"/>
      <c r="C26" s="245"/>
      <c r="D26" s="247" t="s">
        <v>99</v>
      </c>
      <c r="E26" s="64">
        <v>19</v>
      </c>
      <c r="F26" s="136" t="s">
        <v>100</v>
      </c>
      <c r="G26" s="169" t="s">
        <v>59</v>
      </c>
      <c r="H26" s="169" t="s">
        <v>73</v>
      </c>
      <c r="I26" s="168">
        <v>804</v>
      </c>
      <c r="J26" s="168">
        <v>202</v>
      </c>
      <c r="K26" s="168">
        <v>203</v>
      </c>
      <c r="L26" s="168">
        <v>202</v>
      </c>
      <c r="M26" s="168">
        <v>197</v>
      </c>
      <c r="N26" s="169" t="s">
        <v>66</v>
      </c>
      <c r="O26" s="160"/>
      <c r="P26" s="8" t="s">
        <v>410</v>
      </c>
      <c r="Q26" s="123">
        <v>30</v>
      </c>
      <c r="R26" s="79" t="s">
        <v>444</v>
      </c>
      <c r="S26" s="225" t="s">
        <v>470</v>
      </c>
      <c r="T26" s="64" t="s">
        <v>62</v>
      </c>
      <c r="U26" s="64" t="s">
        <v>62</v>
      </c>
      <c r="V26" s="11" t="s">
        <v>345</v>
      </c>
      <c r="W26" s="141"/>
      <c r="X26" s="141"/>
      <c r="Y26" s="141"/>
      <c r="Z26" s="135">
        <v>65</v>
      </c>
      <c r="AA26" s="135">
        <v>65</v>
      </c>
      <c r="AB26" s="135">
        <v>72</v>
      </c>
      <c r="AC26" s="8">
        <f>SUM(Z26:AB26)</f>
        <v>202</v>
      </c>
      <c r="AD26" s="119">
        <f t="shared" si="4"/>
        <v>202</v>
      </c>
      <c r="AE26" s="120">
        <f>AC26</f>
        <v>202</v>
      </c>
      <c r="AF26" s="135">
        <v>66</v>
      </c>
      <c r="AG26" s="135">
        <v>63</v>
      </c>
      <c r="AH26" s="135">
        <v>74</v>
      </c>
      <c r="AI26" s="8">
        <f>SUM(AF26:AH26)</f>
        <v>203</v>
      </c>
      <c r="AJ26" s="119">
        <f t="shared" si="5"/>
        <v>405</v>
      </c>
      <c r="AK26" s="120">
        <f>AI26</f>
        <v>203</v>
      </c>
      <c r="AL26" s="119">
        <f t="shared" si="6"/>
        <v>405</v>
      </c>
      <c r="AM26" s="135">
        <f t="shared" si="7"/>
        <v>30</v>
      </c>
      <c r="AN26" s="135"/>
      <c r="AO26" s="135"/>
      <c r="AP26" s="8">
        <f>SUM(AM26:AO26)</f>
        <v>30</v>
      </c>
      <c r="AQ26" s="119">
        <f t="shared" si="8"/>
        <v>607</v>
      </c>
      <c r="AR26" s="120">
        <f>AP26</f>
        <v>30</v>
      </c>
      <c r="AS26" s="119">
        <f t="shared" si="9"/>
        <v>435</v>
      </c>
      <c r="AT26" s="135"/>
      <c r="AU26" s="135"/>
      <c r="AV26" s="135"/>
      <c r="AW26" s="8">
        <f>SUM(AT26:AV26)</f>
        <v>0</v>
      </c>
      <c r="AX26" s="119">
        <f t="shared" si="10"/>
        <v>804</v>
      </c>
      <c r="AY26" s="120">
        <f>AW26</f>
        <v>0</v>
      </c>
      <c r="AZ26" s="119">
        <f t="shared" si="11"/>
        <v>435</v>
      </c>
      <c r="BA26" s="141"/>
    </row>
    <row r="27" spans="1:53" s="2" customFormat="1" ht="48.75" customHeight="1" x14ac:dyDescent="0.2">
      <c r="A27" s="30"/>
      <c r="B27" s="31"/>
      <c r="C27" s="245"/>
      <c r="D27" s="248"/>
      <c r="E27" s="64">
        <v>20</v>
      </c>
      <c r="F27" s="136" t="s">
        <v>101</v>
      </c>
      <c r="G27" s="169" t="s">
        <v>59</v>
      </c>
      <c r="H27" s="169" t="s">
        <v>60</v>
      </c>
      <c r="I27" s="168">
        <v>95</v>
      </c>
      <c r="J27" s="168">
        <v>24</v>
      </c>
      <c r="K27" s="168">
        <v>24</v>
      </c>
      <c r="L27" s="168">
        <v>24</v>
      </c>
      <c r="M27" s="168">
        <v>23</v>
      </c>
      <c r="N27" s="169"/>
      <c r="O27" s="169" t="s">
        <v>66</v>
      </c>
      <c r="P27" s="8" t="s">
        <v>409</v>
      </c>
      <c r="Q27" s="123">
        <v>100</v>
      </c>
      <c r="R27" s="79" t="s">
        <v>387</v>
      </c>
      <c r="S27" s="64" t="s">
        <v>62</v>
      </c>
      <c r="T27" s="64" t="s">
        <v>62</v>
      </c>
      <c r="U27" s="64" t="s">
        <v>62</v>
      </c>
      <c r="V27" s="11" t="s">
        <v>345</v>
      </c>
      <c r="W27" s="124"/>
      <c r="X27" s="141"/>
      <c r="Y27" s="141"/>
      <c r="Z27" s="135">
        <v>100</v>
      </c>
      <c r="AA27" s="135">
        <v>100</v>
      </c>
      <c r="AB27" s="135">
        <v>100</v>
      </c>
      <c r="AC27" s="8">
        <f t="shared" si="46"/>
        <v>100</v>
      </c>
      <c r="AD27" s="119">
        <f t="shared" si="4"/>
        <v>24</v>
      </c>
      <c r="AE27" s="119">
        <f>(J27*AC27)/I27</f>
        <v>25.263157894736842</v>
      </c>
      <c r="AF27" s="135">
        <v>100</v>
      </c>
      <c r="AG27" s="135">
        <v>100</v>
      </c>
      <c r="AH27" s="135">
        <v>100</v>
      </c>
      <c r="AI27" s="8">
        <f t="shared" ref="AI27" si="54">AVERAGE(AF27:AH27)</f>
        <v>100</v>
      </c>
      <c r="AJ27" s="119">
        <f t="shared" si="5"/>
        <v>48</v>
      </c>
      <c r="AK27" s="119">
        <f>(K27*AI27)/I27</f>
        <v>25.263157894736842</v>
      </c>
      <c r="AL27" s="119">
        <f t="shared" si="6"/>
        <v>50.526315789473685</v>
      </c>
      <c r="AM27" s="135">
        <f t="shared" si="7"/>
        <v>100</v>
      </c>
      <c r="AN27" s="135"/>
      <c r="AO27" s="135"/>
      <c r="AP27" s="8">
        <f t="shared" ref="AP27" si="55">AVERAGE(AM27:AO27)</f>
        <v>100</v>
      </c>
      <c r="AQ27" s="119">
        <f t="shared" si="8"/>
        <v>72</v>
      </c>
      <c r="AR27" s="119">
        <f>(L27*AP27)/I27</f>
        <v>25.263157894736842</v>
      </c>
      <c r="AS27" s="119">
        <f t="shared" si="9"/>
        <v>75.78947368421052</v>
      </c>
      <c r="AT27" s="135"/>
      <c r="AU27" s="135"/>
      <c r="AV27" s="135"/>
      <c r="AW27" s="8" t="e">
        <f t="shared" ref="AW27" si="56">AVERAGE(AT27:AV27)</f>
        <v>#DIV/0!</v>
      </c>
      <c r="AX27" s="119">
        <f t="shared" si="10"/>
        <v>95</v>
      </c>
      <c r="AY27" s="119" t="e">
        <f>(M27*AW27)/I27</f>
        <v>#DIV/0!</v>
      </c>
      <c r="AZ27" s="119" t="e">
        <f t="shared" si="11"/>
        <v>#DIV/0!</v>
      </c>
      <c r="BA27" s="141"/>
    </row>
    <row r="28" spans="1:53" s="2" customFormat="1" ht="36.75" customHeight="1" x14ac:dyDescent="0.2">
      <c r="A28" s="30"/>
      <c r="B28" s="31"/>
      <c r="C28" s="245"/>
      <c r="D28" s="248"/>
      <c r="E28" s="64">
        <v>21</v>
      </c>
      <c r="F28" s="137" t="s">
        <v>102</v>
      </c>
      <c r="G28" s="171" t="s">
        <v>59</v>
      </c>
      <c r="H28" s="171" t="s">
        <v>103</v>
      </c>
      <c r="I28" s="172">
        <v>59</v>
      </c>
      <c r="J28" s="172">
        <v>14</v>
      </c>
      <c r="K28" s="172">
        <v>15</v>
      </c>
      <c r="L28" s="172">
        <v>15</v>
      </c>
      <c r="M28" s="172">
        <v>15</v>
      </c>
      <c r="N28" s="171" t="s">
        <v>66</v>
      </c>
      <c r="O28" s="171"/>
      <c r="P28" s="8" t="s">
        <v>409</v>
      </c>
      <c r="Q28" s="123">
        <v>5</v>
      </c>
      <c r="R28" s="230" t="s">
        <v>388</v>
      </c>
      <c r="S28" s="64" t="s">
        <v>62</v>
      </c>
      <c r="T28" s="64" t="s">
        <v>62</v>
      </c>
      <c r="U28" s="64" t="s">
        <v>62</v>
      </c>
      <c r="V28" s="11" t="s">
        <v>345</v>
      </c>
      <c r="W28" s="141"/>
      <c r="X28" s="141"/>
      <c r="Y28" s="141"/>
      <c r="Z28" s="135">
        <v>5</v>
      </c>
      <c r="AA28" s="135">
        <v>4</v>
      </c>
      <c r="AB28" s="135">
        <v>5</v>
      </c>
      <c r="AC28" s="8">
        <f>SUM(Z28:AB28)</f>
        <v>14</v>
      </c>
      <c r="AD28" s="119">
        <f t="shared" si="4"/>
        <v>14</v>
      </c>
      <c r="AE28" s="120">
        <f>AC28</f>
        <v>14</v>
      </c>
      <c r="AF28" s="135">
        <v>5</v>
      </c>
      <c r="AG28" s="135">
        <v>5</v>
      </c>
      <c r="AH28" s="135">
        <v>5</v>
      </c>
      <c r="AI28" s="8">
        <f>SUM(AF28:AH28)</f>
        <v>15</v>
      </c>
      <c r="AJ28" s="119">
        <f t="shared" si="5"/>
        <v>29</v>
      </c>
      <c r="AK28" s="120">
        <f>AI28</f>
        <v>15</v>
      </c>
      <c r="AL28" s="119">
        <f t="shared" si="6"/>
        <v>29</v>
      </c>
      <c r="AM28" s="135">
        <f t="shared" si="7"/>
        <v>5</v>
      </c>
      <c r="AN28" s="135"/>
      <c r="AO28" s="135"/>
      <c r="AP28" s="8">
        <f>SUM(AM28:AO28)</f>
        <v>5</v>
      </c>
      <c r="AQ28" s="119">
        <f t="shared" si="8"/>
        <v>44</v>
      </c>
      <c r="AR28" s="120">
        <f>AP28</f>
        <v>5</v>
      </c>
      <c r="AS28" s="119">
        <f t="shared" si="9"/>
        <v>34</v>
      </c>
      <c r="AT28" s="135"/>
      <c r="AU28" s="135"/>
      <c r="AV28" s="135"/>
      <c r="AW28" s="8">
        <f>SUM(AT28:AV28)</f>
        <v>0</v>
      </c>
      <c r="AX28" s="119">
        <f t="shared" si="10"/>
        <v>59</v>
      </c>
      <c r="AY28" s="120">
        <f>AW28</f>
        <v>0</v>
      </c>
      <c r="AZ28" s="119">
        <f t="shared" si="11"/>
        <v>34</v>
      </c>
      <c r="BA28" s="141"/>
    </row>
    <row r="29" spans="1:53" s="2" customFormat="1" ht="45" customHeight="1" x14ac:dyDescent="0.2">
      <c r="A29" s="30"/>
      <c r="B29" s="31"/>
      <c r="C29" s="245"/>
      <c r="D29" s="248"/>
      <c r="E29" s="64">
        <v>22</v>
      </c>
      <c r="F29" s="137" t="s">
        <v>104</v>
      </c>
      <c r="G29" s="169" t="s">
        <v>65</v>
      </c>
      <c r="H29" s="169" t="s">
        <v>60</v>
      </c>
      <c r="I29" s="168">
        <v>95</v>
      </c>
      <c r="J29" s="168">
        <v>24</v>
      </c>
      <c r="K29" s="168">
        <v>24</v>
      </c>
      <c r="L29" s="168">
        <v>24</v>
      </c>
      <c r="M29" s="168">
        <v>23</v>
      </c>
      <c r="N29" s="169"/>
      <c r="O29" s="169" t="s">
        <v>66</v>
      </c>
      <c r="P29" s="8" t="s">
        <v>409</v>
      </c>
      <c r="Q29" s="123">
        <v>100</v>
      </c>
      <c r="R29" s="137" t="s">
        <v>389</v>
      </c>
      <c r="S29" s="64" t="s">
        <v>62</v>
      </c>
      <c r="T29" s="64" t="s">
        <v>62</v>
      </c>
      <c r="U29" s="64" t="s">
        <v>62</v>
      </c>
      <c r="V29" s="11" t="s">
        <v>345</v>
      </c>
      <c r="W29" s="141"/>
      <c r="X29" s="141"/>
      <c r="Y29" s="141"/>
      <c r="Z29" s="135">
        <v>100</v>
      </c>
      <c r="AA29" s="135">
        <v>100</v>
      </c>
      <c r="AB29" s="135">
        <v>100</v>
      </c>
      <c r="AC29" s="8">
        <f t="shared" si="46"/>
        <v>100</v>
      </c>
      <c r="AD29" s="119">
        <f t="shared" si="4"/>
        <v>24</v>
      </c>
      <c r="AE29" s="119">
        <f>(J29*AC29)/I29</f>
        <v>25.263157894736842</v>
      </c>
      <c r="AF29" s="135">
        <v>100</v>
      </c>
      <c r="AG29" s="135">
        <v>100</v>
      </c>
      <c r="AH29" s="135">
        <v>100</v>
      </c>
      <c r="AI29" s="8">
        <f t="shared" ref="AI29" si="57">AVERAGE(AF29:AH29)</f>
        <v>100</v>
      </c>
      <c r="AJ29" s="119">
        <f t="shared" si="5"/>
        <v>48</v>
      </c>
      <c r="AK29" s="119">
        <f>(K29*AI29)/I29</f>
        <v>25.263157894736842</v>
      </c>
      <c r="AL29" s="119">
        <f t="shared" si="6"/>
        <v>50.526315789473685</v>
      </c>
      <c r="AM29" s="135">
        <f t="shared" si="7"/>
        <v>100</v>
      </c>
      <c r="AN29" s="135"/>
      <c r="AO29" s="135"/>
      <c r="AP29" s="8">
        <f t="shared" ref="AP29" si="58">AVERAGE(AM29:AO29)</f>
        <v>100</v>
      </c>
      <c r="AQ29" s="119">
        <f t="shared" si="8"/>
        <v>72</v>
      </c>
      <c r="AR29" s="119">
        <f>(L29*AP29)/I29</f>
        <v>25.263157894736842</v>
      </c>
      <c r="AS29" s="119">
        <f t="shared" si="9"/>
        <v>75.78947368421052</v>
      </c>
      <c r="AT29" s="135"/>
      <c r="AU29" s="135"/>
      <c r="AV29" s="135"/>
      <c r="AW29" s="8" t="e">
        <f t="shared" ref="AW29" si="59">AVERAGE(AT29:AV29)</f>
        <v>#DIV/0!</v>
      </c>
      <c r="AX29" s="119">
        <f t="shared" si="10"/>
        <v>95</v>
      </c>
      <c r="AY29" s="119" t="e">
        <f>(M29*AW29)/I29</f>
        <v>#DIV/0!</v>
      </c>
      <c r="AZ29" s="119" t="e">
        <f t="shared" si="11"/>
        <v>#DIV/0!</v>
      </c>
      <c r="BA29" s="141"/>
    </row>
    <row r="30" spans="1:53" s="2" customFormat="1" ht="36.75" customHeight="1" x14ac:dyDescent="0.2">
      <c r="A30" s="30"/>
      <c r="B30" s="31"/>
      <c r="C30" s="246"/>
      <c r="D30" s="249"/>
      <c r="E30" s="64">
        <v>23</v>
      </c>
      <c r="F30" s="137" t="s">
        <v>105</v>
      </c>
      <c r="G30" s="171" t="s">
        <v>59</v>
      </c>
      <c r="H30" s="171" t="s">
        <v>106</v>
      </c>
      <c r="I30" s="232">
        <v>1768</v>
      </c>
      <c r="J30" s="231">
        <v>442</v>
      </c>
      <c r="K30" s="172">
        <v>442</v>
      </c>
      <c r="L30" s="172">
        <v>442</v>
      </c>
      <c r="M30" s="172">
        <v>442</v>
      </c>
      <c r="N30" s="171" t="s">
        <v>66</v>
      </c>
      <c r="O30" s="171"/>
      <c r="P30" s="8" t="s">
        <v>409</v>
      </c>
      <c r="Q30" s="123">
        <v>136</v>
      </c>
      <c r="R30" s="230" t="s">
        <v>390</v>
      </c>
      <c r="S30" s="64" t="s">
        <v>62</v>
      </c>
      <c r="T30" s="64" t="s">
        <v>62</v>
      </c>
      <c r="U30" s="64" t="s">
        <v>62</v>
      </c>
      <c r="V30" s="11" t="s">
        <v>345</v>
      </c>
      <c r="W30" s="141"/>
      <c r="X30" s="141"/>
      <c r="Y30" s="141">
        <v>170</v>
      </c>
      <c r="Z30" s="135">
        <v>136</v>
      </c>
      <c r="AA30" s="135">
        <v>136</v>
      </c>
      <c r="AB30" s="135">
        <v>170</v>
      </c>
      <c r="AC30" s="8">
        <f>SUM(Z30:AB30)</f>
        <v>442</v>
      </c>
      <c r="AD30" s="119">
        <f t="shared" si="4"/>
        <v>442</v>
      </c>
      <c r="AE30" s="120">
        <f>AC30</f>
        <v>442</v>
      </c>
      <c r="AF30" s="135">
        <v>136</v>
      </c>
      <c r="AG30" s="135">
        <v>136</v>
      </c>
      <c r="AH30" s="135">
        <v>170</v>
      </c>
      <c r="AI30" s="8">
        <f>SUM(AF30:AH30)</f>
        <v>442</v>
      </c>
      <c r="AJ30" s="119">
        <f t="shared" si="5"/>
        <v>884</v>
      </c>
      <c r="AK30" s="120">
        <f>AI30</f>
        <v>442</v>
      </c>
      <c r="AL30" s="119">
        <f t="shared" si="6"/>
        <v>884</v>
      </c>
      <c r="AM30" s="135">
        <f t="shared" si="7"/>
        <v>136</v>
      </c>
      <c r="AN30" s="135"/>
      <c r="AO30" s="135"/>
      <c r="AP30" s="8">
        <f>SUM(AM30:AO30)</f>
        <v>136</v>
      </c>
      <c r="AQ30" s="119">
        <f t="shared" si="8"/>
        <v>1326</v>
      </c>
      <c r="AR30" s="120">
        <f>AP30</f>
        <v>136</v>
      </c>
      <c r="AS30" s="119">
        <f t="shared" si="9"/>
        <v>1020</v>
      </c>
      <c r="AT30" s="135"/>
      <c r="AU30" s="135"/>
      <c r="AV30" s="135"/>
      <c r="AW30" s="8">
        <f>SUM(AT30:AV30)</f>
        <v>0</v>
      </c>
      <c r="AX30" s="119">
        <f t="shared" si="10"/>
        <v>1768</v>
      </c>
      <c r="AY30" s="120">
        <f>AW30</f>
        <v>0</v>
      </c>
      <c r="AZ30" s="119">
        <f t="shared" si="11"/>
        <v>1020</v>
      </c>
      <c r="BA30" s="141"/>
    </row>
    <row r="31" spans="1:53" s="1" customFormat="1" ht="48.75" customHeight="1" x14ac:dyDescent="0.2">
      <c r="A31" s="32"/>
      <c r="B31" s="33"/>
      <c r="C31" s="260" t="s">
        <v>88</v>
      </c>
      <c r="D31" s="173" t="s">
        <v>107</v>
      </c>
      <c r="E31" s="64">
        <v>24</v>
      </c>
      <c r="F31" s="61" t="s">
        <v>108</v>
      </c>
      <c r="G31" s="164" t="s">
        <v>59</v>
      </c>
      <c r="H31" s="164" t="s">
        <v>60</v>
      </c>
      <c r="I31" s="138">
        <v>100</v>
      </c>
      <c r="J31" s="138">
        <v>25</v>
      </c>
      <c r="K31" s="138">
        <v>25</v>
      </c>
      <c r="L31" s="138">
        <v>25</v>
      </c>
      <c r="M31" s="138">
        <v>25</v>
      </c>
      <c r="N31" s="164"/>
      <c r="O31" s="164" t="s">
        <v>66</v>
      </c>
      <c r="P31" s="64" t="s">
        <v>409</v>
      </c>
      <c r="Q31" s="8">
        <v>103</v>
      </c>
      <c r="R31" s="12" t="s">
        <v>407</v>
      </c>
      <c r="S31" s="64" t="s">
        <v>62</v>
      </c>
      <c r="T31" s="225" t="s">
        <v>314</v>
      </c>
      <c r="U31" s="64" t="s">
        <v>62</v>
      </c>
      <c r="V31" s="11" t="s">
        <v>411</v>
      </c>
      <c r="W31" s="122" t="s">
        <v>315</v>
      </c>
      <c r="X31" s="114"/>
      <c r="Y31" s="124"/>
      <c r="Z31" s="135">
        <v>108</v>
      </c>
      <c r="AA31" s="135">
        <v>109</v>
      </c>
      <c r="AB31" s="135">
        <v>143</v>
      </c>
      <c r="AC31" s="8">
        <f t="shared" si="46"/>
        <v>120</v>
      </c>
      <c r="AD31" s="119">
        <f t="shared" si="4"/>
        <v>25</v>
      </c>
      <c r="AE31" s="119">
        <f>(J31*AC31)/I31</f>
        <v>30</v>
      </c>
      <c r="AF31" s="135">
        <v>120</v>
      </c>
      <c r="AG31" s="135">
        <v>120</v>
      </c>
      <c r="AH31" s="135">
        <v>101</v>
      </c>
      <c r="AI31" s="8">
        <f t="shared" ref="AI31" si="60">AVERAGE(AF31:AH31)</f>
        <v>113.66666666666667</v>
      </c>
      <c r="AJ31" s="119">
        <f t="shared" si="5"/>
        <v>50</v>
      </c>
      <c r="AK31" s="119">
        <f>(K31*AI31)/I31</f>
        <v>28.416666666666671</v>
      </c>
      <c r="AL31" s="119">
        <f t="shared" si="6"/>
        <v>58.416666666666671</v>
      </c>
      <c r="AM31" s="135">
        <f t="shared" si="7"/>
        <v>103</v>
      </c>
      <c r="AN31" s="135"/>
      <c r="AO31" s="135"/>
      <c r="AP31" s="8">
        <f t="shared" ref="AP31" si="61">AVERAGE(AM31:AO31)</f>
        <v>103</v>
      </c>
      <c r="AQ31" s="119">
        <f t="shared" si="8"/>
        <v>75</v>
      </c>
      <c r="AR31" s="119">
        <f>(L31*AP31)/I31</f>
        <v>25.75</v>
      </c>
      <c r="AS31" s="119">
        <f t="shared" si="9"/>
        <v>84.166666666666671</v>
      </c>
      <c r="AT31" s="135"/>
      <c r="AU31" s="135"/>
      <c r="AV31" s="135"/>
      <c r="AW31" s="8" t="e">
        <f t="shared" ref="AW31" si="62">AVERAGE(AT31:AV31)</f>
        <v>#DIV/0!</v>
      </c>
      <c r="AX31" s="119">
        <f t="shared" si="10"/>
        <v>100</v>
      </c>
      <c r="AY31" s="119" t="e">
        <f>(M31*AW31)/I31</f>
        <v>#DIV/0!</v>
      </c>
      <c r="AZ31" s="119" t="e">
        <f t="shared" si="11"/>
        <v>#DIV/0!</v>
      </c>
      <c r="BA31" s="124"/>
    </row>
    <row r="32" spans="1:53" s="1" customFormat="1" ht="55.5" customHeight="1" x14ac:dyDescent="0.2">
      <c r="A32" s="32"/>
      <c r="B32" s="33"/>
      <c r="C32" s="261"/>
      <c r="D32" s="174" t="s">
        <v>109</v>
      </c>
      <c r="E32" s="64">
        <v>25</v>
      </c>
      <c r="F32" s="60" t="s">
        <v>110</v>
      </c>
      <c r="G32" s="64" t="s">
        <v>65</v>
      </c>
      <c r="H32" s="135" t="s">
        <v>111</v>
      </c>
      <c r="I32" s="135">
        <v>157</v>
      </c>
      <c r="J32" s="135">
        <v>31</v>
      </c>
      <c r="K32" s="135">
        <v>43</v>
      </c>
      <c r="L32" s="135">
        <v>47</v>
      </c>
      <c r="M32" s="135">
        <v>36</v>
      </c>
      <c r="N32" s="64"/>
      <c r="O32" s="64" t="s">
        <v>66</v>
      </c>
      <c r="P32" s="64" t="s">
        <v>409</v>
      </c>
      <c r="Q32" s="8">
        <v>0</v>
      </c>
      <c r="R32" s="12" t="s">
        <v>438</v>
      </c>
      <c r="S32" s="64" t="s">
        <v>62</v>
      </c>
      <c r="T32" s="64" t="s">
        <v>62</v>
      </c>
      <c r="U32" s="64" t="s">
        <v>62</v>
      </c>
      <c r="V32" s="11" t="s">
        <v>348</v>
      </c>
      <c r="W32" s="124"/>
      <c r="X32" s="124"/>
      <c r="Y32" s="124"/>
      <c r="Z32" s="135">
        <v>0</v>
      </c>
      <c r="AA32" s="135">
        <v>0</v>
      </c>
      <c r="AB32" s="135">
        <v>28</v>
      </c>
      <c r="AC32" s="8">
        <f>SUM(Z32:AB32)</f>
        <v>28</v>
      </c>
      <c r="AD32" s="119">
        <f t="shared" si="4"/>
        <v>31</v>
      </c>
      <c r="AE32" s="120">
        <f>AC32</f>
        <v>28</v>
      </c>
      <c r="AF32" s="135">
        <v>0</v>
      </c>
      <c r="AG32" s="135">
        <v>0</v>
      </c>
      <c r="AH32" s="135">
        <v>45</v>
      </c>
      <c r="AI32" s="8">
        <f>SUM(AF32:AH32)</f>
        <v>45</v>
      </c>
      <c r="AJ32" s="119">
        <f t="shared" si="5"/>
        <v>74</v>
      </c>
      <c r="AK32" s="120">
        <f>AI32</f>
        <v>45</v>
      </c>
      <c r="AL32" s="119">
        <f t="shared" si="6"/>
        <v>73</v>
      </c>
      <c r="AM32" s="135">
        <f t="shared" si="7"/>
        <v>0</v>
      </c>
      <c r="AN32" s="135"/>
      <c r="AO32" s="135"/>
      <c r="AP32" s="8">
        <f>SUM(AM32:AO32)</f>
        <v>0</v>
      </c>
      <c r="AQ32" s="119">
        <f t="shared" si="8"/>
        <v>121</v>
      </c>
      <c r="AR32" s="120">
        <f>AP32</f>
        <v>0</v>
      </c>
      <c r="AS32" s="119">
        <f t="shared" si="9"/>
        <v>73</v>
      </c>
      <c r="AT32" s="135"/>
      <c r="AU32" s="135"/>
      <c r="AV32" s="135"/>
      <c r="AW32" s="8">
        <f>SUM(AT32:AV32)</f>
        <v>0</v>
      </c>
      <c r="AX32" s="119">
        <f t="shared" si="10"/>
        <v>157</v>
      </c>
      <c r="AY32" s="120">
        <f>AW32</f>
        <v>0</v>
      </c>
      <c r="AZ32" s="119">
        <f t="shared" si="11"/>
        <v>73</v>
      </c>
      <c r="BA32" s="124"/>
    </row>
    <row r="33" spans="1:53" s="1" customFormat="1" ht="64.5" customHeight="1" x14ac:dyDescent="0.2">
      <c r="A33" s="32"/>
      <c r="B33" s="33"/>
      <c r="C33" s="261"/>
      <c r="D33" s="175" t="s">
        <v>112</v>
      </c>
      <c r="E33" s="64">
        <v>26</v>
      </c>
      <c r="F33" s="60" t="s">
        <v>113</v>
      </c>
      <c r="G33" s="64" t="s">
        <v>59</v>
      </c>
      <c r="H33" s="64" t="s">
        <v>60</v>
      </c>
      <c r="I33" s="135">
        <v>100</v>
      </c>
      <c r="J33" s="176">
        <v>25</v>
      </c>
      <c r="K33" s="176">
        <v>25</v>
      </c>
      <c r="L33" s="176">
        <v>25</v>
      </c>
      <c r="M33" s="176">
        <v>25</v>
      </c>
      <c r="N33" s="64"/>
      <c r="O33" s="64" t="s">
        <v>66</v>
      </c>
      <c r="P33" s="64" t="s">
        <v>409</v>
      </c>
      <c r="Q33" s="8">
        <v>100</v>
      </c>
      <c r="R33" s="60" t="s">
        <v>316</v>
      </c>
      <c r="S33" s="10" t="s">
        <v>62</v>
      </c>
      <c r="T33" s="224" t="s">
        <v>412</v>
      </c>
      <c r="U33" s="64" t="s">
        <v>62</v>
      </c>
      <c r="V33" s="11" t="s">
        <v>317</v>
      </c>
      <c r="W33" s="122" t="s">
        <v>413</v>
      </c>
      <c r="X33" s="124"/>
      <c r="Y33" s="124"/>
      <c r="Z33" s="135">
        <v>100</v>
      </c>
      <c r="AA33" s="135">
        <v>100</v>
      </c>
      <c r="AB33" s="135">
        <v>100</v>
      </c>
      <c r="AC33" s="8">
        <f t="shared" si="46"/>
        <v>100</v>
      </c>
      <c r="AD33" s="119">
        <f t="shared" si="4"/>
        <v>25</v>
      </c>
      <c r="AE33" s="119">
        <f t="shared" ref="AE33:AE36" si="63">(J33*AC33)/I33</f>
        <v>25</v>
      </c>
      <c r="AF33" s="135">
        <v>100</v>
      </c>
      <c r="AG33" s="135">
        <v>100</v>
      </c>
      <c r="AH33" s="135">
        <v>100</v>
      </c>
      <c r="AI33" s="8">
        <f t="shared" ref="AI33:AI36" si="64">AVERAGE(AF33:AH33)</f>
        <v>100</v>
      </c>
      <c r="AJ33" s="119">
        <f t="shared" si="5"/>
        <v>50</v>
      </c>
      <c r="AK33" s="119">
        <f t="shared" ref="AK33:AK34" si="65">(K33*AI33)/I33</f>
        <v>25</v>
      </c>
      <c r="AL33" s="119">
        <f t="shared" si="6"/>
        <v>50</v>
      </c>
      <c r="AM33" s="135">
        <f t="shared" si="7"/>
        <v>100</v>
      </c>
      <c r="AN33" s="135"/>
      <c r="AO33" s="135"/>
      <c r="AP33" s="8">
        <f t="shared" ref="AP33:AP34" si="66">AVERAGE(AM33:AO33)</f>
        <v>100</v>
      </c>
      <c r="AQ33" s="119">
        <f t="shared" si="8"/>
        <v>75</v>
      </c>
      <c r="AR33" s="119">
        <f t="shared" ref="AR33:AR34" si="67">(L33*AP33)/I33</f>
        <v>25</v>
      </c>
      <c r="AS33" s="119">
        <f t="shared" si="9"/>
        <v>75</v>
      </c>
      <c r="AT33" s="135"/>
      <c r="AU33" s="135"/>
      <c r="AV33" s="135"/>
      <c r="AW33" s="8" t="e">
        <f t="shared" ref="AW33:AW34" si="68">AVERAGE(AT33:AV33)</f>
        <v>#DIV/0!</v>
      </c>
      <c r="AX33" s="119">
        <f t="shared" si="10"/>
        <v>100</v>
      </c>
      <c r="AY33" s="119" t="e">
        <f t="shared" ref="AY33:AY34" si="69">(M33*AW33)/I33</f>
        <v>#DIV/0!</v>
      </c>
      <c r="AZ33" s="119" t="e">
        <f t="shared" si="11"/>
        <v>#DIV/0!</v>
      </c>
      <c r="BA33" s="124"/>
    </row>
    <row r="34" spans="1:53" s="1" customFormat="1" ht="40.5" customHeight="1" x14ac:dyDescent="0.2">
      <c r="A34" s="32"/>
      <c r="B34" s="33"/>
      <c r="C34" s="261"/>
      <c r="D34" s="166" t="s">
        <v>114</v>
      </c>
      <c r="E34" s="64">
        <v>27</v>
      </c>
      <c r="F34" s="60" t="s">
        <v>115</v>
      </c>
      <c r="G34" s="64" t="s">
        <v>59</v>
      </c>
      <c r="H34" s="64" t="s">
        <v>60</v>
      </c>
      <c r="I34" s="135">
        <v>100</v>
      </c>
      <c r="J34" s="176">
        <v>25</v>
      </c>
      <c r="K34" s="176">
        <v>25</v>
      </c>
      <c r="L34" s="176">
        <v>25</v>
      </c>
      <c r="M34" s="176">
        <v>25</v>
      </c>
      <c r="N34" s="64"/>
      <c r="O34" s="64" t="s">
        <v>66</v>
      </c>
      <c r="P34" s="64" t="s">
        <v>409</v>
      </c>
      <c r="Q34" s="8">
        <v>107</v>
      </c>
      <c r="R34" s="12" t="s">
        <v>378</v>
      </c>
      <c r="S34" s="64" t="s">
        <v>62</v>
      </c>
      <c r="T34" s="64" t="s">
        <v>62</v>
      </c>
      <c r="U34" s="64" t="s">
        <v>62</v>
      </c>
      <c r="V34" s="11" t="s">
        <v>349</v>
      </c>
      <c r="W34" s="124"/>
      <c r="X34" s="124"/>
      <c r="Y34" s="124"/>
      <c r="Z34" s="135">
        <v>107</v>
      </c>
      <c r="AA34" s="135">
        <v>105</v>
      </c>
      <c r="AB34" s="135">
        <v>107</v>
      </c>
      <c r="AC34" s="8">
        <f t="shared" si="46"/>
        <v>106.33333333333333</v>
      </c>
      <c r="AD34" s="119">
        <f t="shared" si="4"/>
        <v>25</v>
      </c>
      <c r="AE34" s="119">
        <f t="shared" si="63"/>
        <v>26.583333333333329</v>
      </c>
      <c r="AF34" s="135">
        <v>110</v>
      </c>
      <c r="AG34" s="135">
        <v>105</v>
      </c>
      <c r="AH34" s="135">
        <v>107</v>
      </c>
      <c r="AI34" s="8">
        <f t="shared" si="64"/>
        <v>107.33333333333333</v>
      </c>
      <c r="AJ34" s="119">
        <f t="shared" si="5"/>
        <v>50</v>
      </c>
      <c r="AK34" s="119">
        <f t="shared" si="65"/>
        <v>26.833333333333329</v>
      </c>
      <c r="AL34" s="119">
        <f t="shared" si="6"/>
        <v>53.416666666666657</v>
      </c>
      <c r="AM34" s="135">
        <f t="shared" si="7"/>
        <v>107</v>
      </c>
      <c r="AN34" s="135"/>
      <c r="AO34" s="135"/>
      <c r="AP34" s="8">
        <f t="shared" si="66"/>
        <v>107</v>
      </c>
      <c r="AQ34" s="119">
        <f t="shared" si="8"/>
        <v>75</v>
      </c>
      <c r="AR34" s="119">
        <f t="shared" si="67"/>
        <v>26.75</v>
      </c>
      <c r="AS34" s="119">
        <f t="shared" si="9"/>
        <v>80.166666666666657</v>
      </c>
      <c r="AT34" s="135"/>
      <c r="AU34" s="135"/>
      <c r="AV34" s="135"/>
      <c r="AW34" s="8" t="e">
        <f t="shared" si="68"/>
        <v>#DIV/0!</v>
      </c>
      <c r="AX34" s="119">
        <f t="shared" si="10"/>
        <v>100</v>
      </c>
      <c r="AY34" s="119" t="e">
        <f t="shared" si="69"/>
        <v>#DIV/0!</v>
      </c>
      <c r="AZ34" s="119" t="e">
        <f t="shared" si="11"/>
        <v>#DIV/0!</v>
      </c>
      <c r="BA34" s="124"/>
    </row>
    <row r="35" spans="1:53" s="1" customFormat="1" ht="40.5" customHeight="1" x14ac:dyDescent="0.2">
      <c r="A35" s="32"/>
      <c r="B35" s="33"/>
      <c r="C35" s="261"/>
      <c r="D35" s="247" t="s">
        <v>116</v>
      </c>
      <c r="E35" s="64">
        <v>28</v>
      </c>
      <c r="F35" s="60" t="s">
        <v>117</v>
      </c>
      <c r="G35" s="64" t="s">
        <v>91</v>
      </c>
      <c r="H35" s="64" t="s">
        <v>60</v>
      </c>
      <c r="I35" s="135">
        <v>100</v>
      </c>
      <c r="J35" s="176">
        <v>0</v>
      </c>
      <c r="K35" s="176">
        <v>50</v>
      </c>
      <c r="L35" s="176">
        <v>0</v>
      </c>
      <c r="M35" s="176">
        <v>50</v>
      </c>
      <c r="N35" s="64"/>
      <c r="O35" s="64" t="s">
        <v>66</v>
      </c>
      <c r="P35" s="64" t="s">
        <v>409</v>
      </c>
      <c r="Q35" s="8">
        <v>0</v>
      </c>
      <c r="R35" s="12" t="s">
        <v>436</v>
      </c>
      <c r="S35" s="64" t="s">
        <v>62</v>
      </c>
      <c r="T35" s="64" t="s">
        <v>62</v>
      </c>
      <c r="U35" s="64" t="s">
        <v>62</v>
      </c>
      <c r="V35" s="11" t="s">
        <v>377</v>
      </c>
      <c r="W35" s="124"/>
      <c r="X35" s="124"/>
      <c r="Y35" s="124"/>
      <c r="Z35" s="135">
        <v>0</v>
      </c>
      <c r="AA35" s="135">
        <v>0</v>
      </c>
      <c r="AB35" s="135">
        <v>0</v>
      </c>
      <c r="AC35" s="142">
        <f t="shared" si="46"/>
        <v>0</v>
      </c>
      <c r="AD35" s="119">
        <f t="shared" si="4"/>
        <v>0</v>
      </c>
      <c r="AE35" s="119">
        <f t="shared" si="63"/>
        <v>0</v>
      </c>
      <c r="AF35" s="135">
        <v>0</v>
      </c>
      <c r="AG35" s="135">
        <v>0</v>
      </c>
      <c r="AH35" s="135">
        <v>100</v>
      </c>
      <c r="AI35" s="144">
        <f>AH35</f>
        <v>100</v>
      </c>
      <c r="AJ35" s="119">
        <f t="shared" ref="AJ35:AJ36" si="70">J35+K35</f>
        <v>50</v>
      </c>
      <c r="AK35" s="119">
        <f t="shared" ref="AK35:AK36" si="71">(K35*AI35)/I35</f>
        <v>50</v>
      </c>
      <c r="AL35" s="119">
        <f t="shared" ref="AL35:AL36" si="72">AE35+AK35</f>
        <v>50</v>
      </c>
      <c r="AM35" s="135">
        <f t="shared" si="7"/>
        <v>0</v>
      </c>
      <c r="AN35" s="135"/>
      <c r="AO35" s="135"/>
      <c r="AP35" s="142">
        <f t="shared" ref="AP35:AP36" si="73">AVERAGE(AM35:AO35)</f>
        <v>0</v>
      </c>
      <c r="AQ35" s="119">
        <f t="shared" ref="AQ35:AQ36" si="74">J35+K35+L35</f>
        <v>50</v>
      </c>
      <c r="AR35" s="119">
        <f t="shared" ref="AR35:AR36" si="75">(L35*AP35)/I35</f>
        <v>0</v>
      </c>
      <c r="AS35" s="119">
        <f t="shared" ref="AS35:AS36" si="76">AE35+AK35+AR35</f>
        <v>50</v>
      </c>
      <c r="AT35" s="135"/>
      <c r="AU35" s="135"/>
      <c r="AV35" s="135"/>
      <c r="AW35" s="144">
        <f>AV35</f>
        <v>0</v>
      </c>
      <c r="AX35" s="119">
        <f t="shared" ref="AX35:AX36" si="77">J35+K35+L35+M35</f>
        <v>100</v>
      </c>
      <c r="AY35" s="119">
        <f t="shared" ref="AY35:AY36" si="78">(M35*AW35)/I35</f>
        <v>0</v>
      </c>
      <c r="AZ35" s="119">
        <f t="shared" ref="AZ35:AZ36" si="79">AE35+AK35+AR35+AY35</f>
        <v>50</v>
      </c>
      <c r="BA35" s="124"/>
    </row>
    <row r="36" spans="1:53" s="1" customFormat="1" ht="40.5" customHeight="1" x14ac:dyDescent="0.2">
      <c r="A36" s="32"/>
      <c r="B36" s="33"/>
      <c r="C36" s="262"/>
      <c r="D36" s="249"/>
      <c r="E36" s="64">
        <v>29</v>
      </c>
      <c r="F36" s="60" t="s">
        <v>261</v>
      </c>
      <c r="G36" s="64" t="s">
        <v>59</v>
      </c>
      <c r="H36" s="64" t="s">
        <v>60</v>
      </c>
      <c r="I36" s="135">
        <v>100</v>
      </c>
      <c r="J36" s="176">
        <v>25</v>
      </c>
      <c r="K36" s="176">
        <v>25</v>
      </c>
      <c r="L36" s="176">
        <v>25</v>
      </c>
      <c r="M36" s="176">
        <v>25</v>
      </c>
      <c r="N36" s="64"/>
      <c r="O36" s="64" t="s">
        <v>66</v>
      </c>
      <c r="P36" s="64" t="s">
        <v>409</v>
      </c>
      <c r="Q36" s="8">
        <v>100</v>
      </c>
      <c r="R36" s="12" t="s">
        <v>379</v>
      </c>
      <c r="S36" s="64" t="s">
        <v>62</v>
      </c>
      <c r="T36" s="64" t="s">
        <v>62</v>
      </c>
      <c r="U36" s="64" t="s">
        <v>62</v>
      </c>
      <c r="V36" s="11" t="s">
        <v>377</v>
      </c>
      <c r="W36" s="124"/>
      <c r="X36" s="124"/>
      <c r="Y36" s="124"/>
      <c r="Z36" s="135">
        <v>100</v>
      </c>
      <c r="AA36" s="135">
        <v>100</v>
      </c>
      <c r="AB36" s="135">
        <v>100</v>
      </c>
      <c r="AC36" s="8">
        <f t="shared" si="46"/>
        <v>100</v>
      </c>
      <c r="AD36" s="119">
        <f t="shared" si="4"/>
        <v>25</v>
      </c>
      <c r="AE36" s="119">
        <f t="shared" si="63"/>
        <v>25</v>
      </c>
      <c r="AF36" s="135">
        <v>100</v>
      </c>
      <c r="AG36" s="135">
        <v>100</v>
      </c>
      <c r="AH36" s="135">
        <v>100</v>
      </c>
      <c r="AI36" s="8">
        <f t="shared" si="64"/>
        <v>100</v>
      </c>
      <c r="AJ36" s="119">
        <f t="shared" si="70"/>
        <v>50</v>
      </c>
      <c r="AK36" s="119">
        <f t="shared" si="71"/>
        <v>25</v>
      </c>
      <c r="AL36" s="119">
        <f t="shared" si="72"/>
        <v>50</v>
      </c>
      <c r="AM36" s="135">
        <f t="shared" si="7"/>
        <v>100</v>
      </c>
      <c r="AN36" s="135"/>
      <c r="AO36" s="135"/>
      <c r="AP36" s="8">
        <f t="shared" si="73"/>
        <v>100</v>
      </c>
      <c r="AQ36" s="119">
        <f t="shared" si="74"/>
        <v>75</v>
      </c>
      <c r="AR36" s="119">
        <f t="shared" si="75"/>
        <v>25</v>
      </c>
      <c r="AS36" s="119">
        <f t="shared" si="76"/>
        <v>75</v>
      </c>
      <c r="AT36" s="135"/>
      <c r="AU36" s="135"/>
      <c r="AV36" s="135"/>
      <c r="AW36" s="8" t="e">
        <f t="shared" ref="AW36" si="80">AVERAGE(AT36:AV36)</f>
        <v>#DIV/0!</v>
      </c>
      <c r="AX36" s="119">
        <f t="shared" si="77"/>
        <v>100</v>
      </c>
      <c r="AY36" s="119" t="e">
        <f t="shared" si="78"/>
        <v>#DIV/0!</v>
      </c>
      <c r="AZ36" s="119" t="e">
        <f t="shared" si="79"/>
        <v>#DIV/0!</v>
      </c>
      <c r="BA36" s="124"/>
    </row>
    <row r="37" spans="1:53" s="1" customFormat="1" ht="45" customHeight="1" x14ac:dyDescent="0.2">
      <c r="A37" s="5">
        <v>4</v>
      </c>
      <c r="B37" s="4" t="s">
        <v>118</v>
      </c>
      <c r="C37" s="244" t="s">
        <v>119</v>
      </c>
      <c r="D37" s="247" t="s">
        <v>120</v>
      </c>
      <c r="E37" s="64">
        <v>30</v>
      </c>
      <c r="F37" s="60" t="s">
        <v>121</v>
      </c>
      <c r="G37" s="64" t="s">
        <v>59</v>
      </c>
      <c r="H37" s="64" t="s">
        <v>122</v>
      </c>
      <c r="I37" s="107">
        <v>250000</v>
      </c>
      <c r="J37" s="107">
        <v>62500</v>
      </c>
      <c r="K37" s="107">
        <v>62500</v>
      </c>
      <c r="L37" s="107">
        <v>62500</v>
      </c>
      <c r="M37" s="107">
        <v>62500</v>
      </c>
      <c r="N37" s="64" t="s">
        <v>66</v>
      </c>
      <c r="O37" s="64"/>
      <c r="P37" s="64" t="s">
        <v>409</v>
      </c>
      <c r="Q37" s="190">
        <v>29892</v>
      </c>
      <c r="R37" s="12" t="s">
        <v>380</v>
      </c>
      <c r="S37" s="64" t="s">
        <v>62</v>
      </c>
      <c r="T37" s="64" t="s">
        <v>62</v>
      </c>
      <c r="U37" s="64" t="s">
        <v>62</v>
      </c>
      <c r="V37" s="11" t="s">
        <v>430</v>
      </c>
      <c r="W37" s="124"/>
      <c r="X37" s="124"/>
      <c r="Y37" s="124"/>
      <c r="Z37" s="135">
        <v>22496</v>
      </c>
      <c r="AA37" s="135">
        <v>23800</v>
      </c>
      <c r="AB37" s="135">
        <v>29089</v>
      </c>
      <c r="AC37" s="8">
        <f>SUM(Z37:AB37)</f>
        <v>75385</v>
      </c>
      <c r="AD37" s="119">
        <f t="shared" si="4"/>
        <v>62500</v>
      </c>
      <c r="AE37" s="120">
        <f t="shared" ref="AE37:AE41" si="81">AC37</f>
        <v>75385</v>
      </c>
      <c r="AF37" s="135">
        <v>26161</v>
      </c>
      <c r="AG37" s="135">
        <v>24760</v>
      </c>
      <c r="AH37" s="135">
        <v>22733</v>
      </c>
      <c r="AI37" s="8">
        <f>SUM(AF37:AH37)</f>
        <v>73654</v>
      </c>
      <c r="AJ37" s="119">
        <f t="shared" si="5"/>
        <v>125000</v>
      </c>
      <c r="AK37" s="120">
        <f t="shared" ref="AK37:AK41" si="82">AI37</f>
        <v>73654</v>
      </c>
      <c r="AL37" s="119">
        <f t="shared" si="6"/>
        <v>149039</v>
      </c>
      <c r="AM37" s="135">
        <f t="shared" si="7"/>
        <v>29892</v>
      </c>
      <c r="AN37" s="135"/>
      <c r="AO37" s="135"/>
      <c r="AP37" s="8">
        <f>SUM(AM37:AO37)</f>
        <v>29892</v>
      </c>
      <c r="AQ37" s="119">
        <f t="shared" si="8"/>
        <v>187500</v>
      </c>
      <c r="AR37" s="120">
        <f t="shared" ref="AR37:AR41" si="83">AP37</f>
        <v>29892</v>
      </c>
      <c r="AS37" s="119">
        <f t="shared" si="9"/>
        <v>178931</v>
      </c>
      <c r="AT37" s="135"/>
      <c r="AU37" s="135"/>
      <c r="AV37" s="135"/>
      <c r="AW37" s="8">
        <f>SUM(AT37:AV37)</f>
        <v>0</v>
      </c>
      <c r="AX37" s="119">
        <f t="shared" si="10"/>
        <v>250000</v>
      </c>
      <c r="AY37" s="120">
        <f t="shared" ref="AY37:AY41" si="84">AW37</f>
        <v>0</v>
      </c>
      <c r="AZ37" s="119">
        <f t="shared" si="11"/>
        <v>178931</v>
      </c>
      <c r="BA37" s="124"/>
    </row>
    <row r="38" spans="1:53" s="1" customFormat="1" ht="45" customHeight="1" x14ac:dyDescent="0.2">
      <c r="A38" s="72"/>
      <c r="B38" s="54"/>
      <c r="C38" s="245"/>
      <c r="D38" s="249"/>
      <c r="E38" s="64">
        <v>31</v>
      </c>
      <c r="F38" s="136" t="s">
        <v>123</v>
      </c>
      <c r="G38" s="169" t="s">
        <v>65</v>
      </c>
      <c r="H38" s="169" t="s">
        <v>60</v>
      </c>
      <c r="I38" s="177">
        <v>95</v>
      </c>
      <c r="J38" s="177">
        <v>24</v>
      </c>
      <c r="K38" s="177">
        <v>24</v>
      </c>
      <c r="L38" s="177">
        <v>24</v>
      </c>
      <c r="M38" s="177">
        <v>23</v>
      </c>
      <c r="N38" s="169" t="s">
        <v>66</v>
      </c>
      <c r="O38" s="169"/>
      <c r="P38" s="64" t="s">
        <v>409</v>
      </c>
      <c r="Q38" s="190">
        <v>0</v>
      </c>
      <c r="R38" s="12" t="s">
        <v>417</v>
      </c>
      <c r="S38" s="64" t="s">
        <v>62</v>
      </c>
      <c r="T38" s="64" t="s">
        <v>62</v>
      </c>
      <c r="U38" s="64" t="s">
        <v>62</v>
      </c>
      <c r="V38" s="11" t="s">
        <v>430</v>
      </c>
      <c r="W38" s="124"/>
      <c r="X38" s="124"/>
      <c r="Y38" s="124"/>
      <c r="Z38" s="135">
        <v>0</v>
      </c>
      <c r="AA38" s="135">
        <v>0</v>
      </c>
      <c r="AB38" s="135">
        <v>98.34</v>
      </c>
      <c r="AC38" s="8">
        <f>SUM(Z38:AB38)</f>
        <v>98.34</v>
      </c>
      <c r="AD38" s="119">
        <f t="shared" ref="AD38" si="85">J38</f>
        <v>24</v>
      </c>
      <c r="AE38" s="119">
        <f t="shared" ref="AE38" si="86">(J38*AC38)/I38</f>
        <v>24.843789473684208</v>
      </c>
      <c r="AF38" s="135">
        <v>0</v>
      </c>
      <c r="AG38" s="135">
        <v>0</v>
      </c>
      <c r="AH38" s="135">
        <v>96.62</v>
      </c>
      <c r="AI38" s="106">
        <f>SUM(AF38:AH38)</f>
        <v>96.62</v>
      </c>
      <c r="AJ38" s="119">
        <f t="shared" ref="AJ38" si="87">J38+K38</f>
        <v>48</v>
      </c>
      <c r="AK38" s="119">
        <f t="shared" ref="AK38" si="88">(K38*AI38)/I38</f>
        <v>24.409263157894738</v>
      </c>
      <c r="AL38" s="119">
        <f t="shared" ref="AL38" si="89">AE38+AK38</f>
        <v>49.253052631578946</v>
      </c>
      <c r="AM38" s="135">
        <f t="shared" si="7"/>
        <v>0</v>
      </c>
      <c r="AN38" s="135"/>
      <c r="AO38" s="135"/>
      <c r="AP38" s="106">
        <f>SUM(AM38:AO38)</f>
        <v>0</v>
      </c>
      <c r="AQ38" s="119">
        <f t="shared" ref="AQ38" si="90">J38+K38+L38</f>
        <v>72</v>
      </c>
      <c r="AR38" s="119">
        <f t="shared" ref="AR38" si="91">(L38*AP38)/I38</f>
        <v>0</v>
      </c>
      <c r="AS38" s="119">
        <f t="shared" ref="AS38" si="92">AE38+AK38+AR38</f>
        <v>49.253052631578946</v>
      </c>
      <c r="AT38" s="135"/>
      <c r="AU38" s="135"/>
      <c r="AV38" s="135"/>
      <c r="AW38" s="106">
        <f>SUM(AT38:AV38)</f>
        <v>0</v>
      </c>
      <c r="AX38" s="119">
        <f t="shared" ref="AX38" si="93">J38+K38+L38+M38</f>
        <v>95</v>
      </c>
      <c r="AY38" s="119">
        <f t="shared" ref="AY38" si="94">(M38*AW38)/I38</f>
        <v>0</v>
      </c>
      <c r="AZ38" s="119">
        <f t="shared" ref="AZ38" si="95">AE38+AK38+AR38+AY38</f>
        <v>49.253052631578946</v>
      </c>
      <c r="BA38" s="124"/>
    </row>
    <row r="39" spans="1:53" s="1" customFormat="1" ht="49.5" customHeight="1" x14ac:dyDescent="0.2">
      <c r="A39" s="32"/>
      <c r="B39" s="59"/>
      <c r="C39" s="245"/>
      <c r="D39" s="247" t="s">
        <v>124</v>
      </c>
      <c r="E39" s="64">
        <v>32</v>
      </c>
      <c r="F39" s="136" t="s">
        <v>125</v>
      </c>
      <c r="G39" s="169" t="s">
        <v>59</v>
      </c>
      <c r="H39" s="169" t="s">
        <v>126</v>
      </c>
      <c r="I39" s="177">
        <v>100000000</v>
      </c>
      <c r="J39" s="177">
        <v>25000000</v>
      </c>
      <c r="K39" s="177">
        <v>25000000</v>
      </c>
      <c r="L39" s="177">
        <v>25000000</v>
      </c>
      <c r="M39" s="177">
        <v>25000000</v>
      </c>
      <c r="N39" s="169"/>
      <c r="O39" s="169" t="s">
        <v>66</v>
      </c>
      <c r="P39" s="64" t="s">
        <v>409</v>
      </c>
      <c r="Q39" s="226">
        <v>17355516.809999999</v>
      </c>
      <c r="R39" s="12" t="s">
        <v>381</v>
      </c>
      <c r="S39" s="64" t="s">
        <v>62</v>
      </c>
      <c r="T39" s="64" t="s">
        <v>62</v>
      </c>
      <c r="U39" s="64" t="s">
        <v>62</v>
      </c>
      <c r="V39" s="11" t="s">
        <v>335</v>
      </c>
      <c r="W39" s="124"/>
      <c r="X39" s="124"/>
      <c r="Y39" s="124"/>
      <c r="Z39" s="135">
        <v>17624326.579999998</v>
      </c>
      <c r="AA39" s="135">
        <v>15259649.23</v>
      </c>
      <c r="AB39" s="135">
        <v>17252966</v>
      </c>
      <c r="AC39" s="117">
        <f>SUM(Z39:AB39)</f>
        <v>50136941.810000002</v>
      </c>
      <c r="AD39" s="119">
        <f t="shared" si="4"/>
        <v>25000000</v>
      </c>
      <c r="AE39" s="120">
        <f t="shared" si="81"/>
        <v>50136941.810000002</v>
      </c>
      <c r="AF39" s="135">
        <v>15378065.039999999</v>
      </c>
      <c r="AG39" s="135">
        <v>17262697.73</v>
      </c>
      <c r="AH39" s="135">
        <v>16074508.630000001</v>
      </c>
      <c r="AI39" s="117">
        <f>SUM(AF39:AH39)</f>
        <v>48715271.399999999</v>
      </c>
      <c r="AJ39" s="119">
        <f t="shared" si="5"/>
        <v>50000000</v>
      </c>
      <c r="AK39" s="120">
        <f t="shared" si="82"/>
        <v>48715271.399999999</v>
      </c>
      <c r="AL39" s="119">
        <f t="shared" si="6"/>
        <v>98852213.210000008</v>
      </c>
      <c r="AM39" s="135">
        <f t="shared" si="7"/>
        <v>17355516.809999999</v>
      </c>
      <c r="AN39" s="135"/>
      <c r="AO39" s="135"/>
      <c r="AP39" s="117">
        <f>SUM(AM39:AO39)</f>
        <v>17355516.809999999</v>
      </c>
      <c r="AQ39" s="119">
        <f t="shared" si="8"/>
        <v>75000000</v>
      </c>
      <c r="AR39" s="120">
        <f t="shared" si="83"/>
        <v>17355516.809999999</v>
      </c>
      <c r="AS39" s="119">
        <f t="shared" si="9"/>
        <v>116207730.02000001</v>
      </c>
      <c r="AT39" s="135"/>
      <c r="AU39" s="135"/>
      <c r="AV39" s="135"/>
      <c r="AW39" s="117">
        <f>SUM(AT39:AV39)</f>
        <v>0</v>
      </c>
      <c r="AX39" s="119">
        <f t="shared" si="10"/>
        <v>100000000</v>
      </c>
      <c r="AY39" s="120">
        <f t="shared" si="84"/>
        <v>0</v>
      </c>
      <c r="AZ39" s="119">
        <f t="shared" si="11"/>
        <v>116207730.02000001</v>
      </c>
      <c r="BA39" s="124"/>
    </row>
    <row r="40" spans="1:53" s="1" customFormat="1" ht="42" customHeight="1" x14ac:dyDescent="0.2">
      <c r="A40" s="32"/>
      <c r="B40" s="59"/>
      <c r="C40" s="245"/>
      <c r="D40" s="249"/>
      <c r="E40" s="64">
        <v>33</v>
      </c>
      <c r="F40" s="178" t="s">
        <v>127</v>
      </c>
      <c r="G40" s="179" t="s">
        <v>59</v>
      </c>
      <c r="H40" s="179" t="s">
        <v>126</v>
      </c>
      <c r="I40" s="180">
        <v>80000000</v>
      </c>
      <c r="J40" s="107">
        <v>20000000</v>
      </c>
      <c r="K40" s="107">
        <v>20000000</v>
      </c>
      <c r="L40" s="107">
        <v>20000000</v>
      </c>
      <c r="M40" s="107">
        <v>20000000</v>
      </c>
      <c r="N40" s="181"/>
      <c r="O40" s="181" t="s">
        <v>66</v>
      </c>
      <c r="P40" s="64" t="s">
        <v>409</v>
      </c>
      <c r="Q40" s="226">
        <v>11539794.539999999</v>
      </c>
      <c r="R40" s="12" t="s">
        <v>382</v>
      </c>
      <c r="S40" s="64" t="s">
        <v>62</v>
      </c>
      <c r="T40" s="64" t="s">
        <v>62</v>
      </c>
      <c r="U40" s="64" t="s">
        <v>62</v>
      </c>
      <c r="V40" s="11" t="s">
        <v>335</v>
      </c>
      <c r="W40" s="124"/>
      <c r="X40" s="124"/>
      <c r="Y40" s="124"/>
      <c r="Z40" s="135">
        <v>10383362.24</v>
      </c>
      <c r="AA40" s="135">
        <v>8990596.7400000002</v>
      </c>
      <c r="AB40" s="135">
        <v>12356618.93</v>
      </c>
      <c r="AC40" s="117">
        <f>SUM(Z40:AB40)</f>
        <v>31730577.91</v>
      </c>
      <c r="AD40" s="119">
        <f t="shared" si="4"/>
        <v>20000000</v>
      </c>
      <c r="AE40" s="120">
        <f t="shared" si="81"/>
        <v>31730577.91</v>
      </c>
      <c r="AF40" s="135">
        <v>10308285.220000001</v>
      </c>
      <c r="AG40" s="135">
        <v>10347693.82</v>
      </c>
      <c r="AH40" s="135">
        <v>11095968.800000001</v>
      </c>
      <c r="AI40" s="117">
        <f>SUM(AF40:AH40)</f>
        <v>31751947.84</v>
      </c>
      <c r="AJ40" s="119">
        <f t="shared" si="5"/>
        <v>40000000</v>
      </c>
      <c r="AK40" s="120">
        <f t="shared" si="82"/>
        <v>31751947.84</v>
      </c>
      <c r="AL40" s="119">
        <f t="shared" si="6"/>
        <v>63482525.75</v>
      </c>
      <c r="AM40" s="135">
        <f t="shared" si="7"/>
        <v>11539794.539999999</v>
      </c>
      <c r="AN40" s="135"/>
      <c r="AO40" s="135"/>
      <c r="AP40" s="117">
        <f>SUM(AM40:AO40)</f>
        <v>11539794.539999999</v>
      </c>
      <c r="AQ40" s="119">
        <f t="shared" si="8"/>
        <v>60000000</v>
      </c>
      <c r="AR40" s="120">
        <f t="shared" si="83"/>
        <v>11539794.539999999</v>
      </c>
      <c r="AS40" s="119">
        <f t="shared" si="9"/>
        <v>75022320.289999992</v>
      </c>
      <c r="AT40" s="135"/>
      <c r="AU40" s="135"/>
      <c r="AV40" s="135"/>
      <c r="AW40" s="117">
        <f>SUM(AT40:AV40)</f>
        <v>0</v>
      </c>
      <c r="AX40" s="119">
        <f t="shared" si="10"/>
        <v>80000000</v>
      </c>
      <c r="AY40" s="120">
        <f t="shared" si="84"/>
        <v>0</v>
      </c>
      <c r="AZ40" s="119">
        <f t="shared" si="11"/>
        <v>75022320.289999992</v>
      </c>
      <c r="BA40" s="124"/>
    </row>
    <row r="41" spans="1:53" s="1" customFormat="1" ht="36" customHeight="1" x14ac:dyDescent="0.2">
      <c r="A41" s="32"/>
      <c r="B41" s="59"/>
      <c r="C41" s="245"/>
      <c r="D41" s="279" t="s">
        <v>128</v>
      </c>
      <c r="E41" s="64">
        <v>34</v>
      </c>
      <c r="F41" s="178" t="s">
        <v>129</v>
      </c>
      <c r="G41" s="179" t="s">
        <v>59</v>
      </c>
      <c r="H41" s="179" t="s">
        <v>130</v>
      </c>
      <c r="I41" s="138">
        <v>216</v>
      </c>
      <c r="J41" s="138">
        <v>54</v>
      </c>
      <c r="K41" s="138">
        <v>54</v>
      </c>
      <c r="L41" s="138">
        <v>54</v>
      </c>
      <c r="M41" s="138">
        <v>54</v>
      </c>
      <c r="N41" s="179"/>
      <c r="O41" s="179" t="s">
        <v>66</v>
      </c>
      <c r="P41" s="64" t="s">
        <v>409</v>
      </c>
      <c r="Q41" s="8">
        <v>18</v>
      </c>
      <c r="R41" s="12" t="s">
        <v>264</v>
      </c>
      <c r="S41" s="64" t="s">
        <v>62</v>
      </c>
      <c r="T41" s="64" t="s">
        <v>62</v>
      </c>
      <c r="U41" s="64" t="s">
        <v>62</v>
      </c>
      <c r="V41" s="11" t="s">
        <v>265</v>
      </c>
      <c r="W41" s="124"/>
      <c r="X41" s="124"/>
      <c r="Y41" s="124"/>
      <c r="Z41" s="135">
        <v>18</v>
      </c>
      <c r="AA41" s="135">
        <v>18</v>
      </c>
      <c r="AB41" s="135">
        <v>18</v>
      </c>
      <c r="AC41" s="118">
        <f>SUM(Z41:AB41)</f>
        <v>54</v>
      </c>
      <c r="AD41" s="119">
        <f t="shared" si="4"/>
        <v>54</v>
      </c>
      <c r="AE41" s="120">
        <f t="shared" si="81"/>
        <v>54</v>
      </c>
      <c r="AF41" s="135">
        <v>18</v>
      </c>
      <c r="AG41" s="135">
        <v>18</v>
      </c>
      <c r="AH41" s="135">
        <v>18</v>
      </c>
      <c r="AI41" s="118">
        <f>SUM(AF41:AH41)</f>
        <v>54</v>
      </c>
      <c r="AJ41" s="119">
        <f t="shared" si="5"/>
        <v>108</v>
      </c>
      <c r="AK41" s="120">
        <f t="shared" si="82"/>
        <v>54</v>
      </c>
      <c r="AL41" s="119">
        <f t="shared" si="6"/>
        <v>108</v>
      </c>
      <c r="AM41" s="135">
        <f t="shared" si="7"/>
        <v>18</v>
      </c>
      <c r="AN41" s="135"/>
      <c r="AO41" s="135"/>
      <c r="AP41" s="118">
        <f>SUM(AM41:AO41)</f>
        <v>18</v>
      </c>
      <c r="AQ41" s="119">
        <f t="shared" si="8"/>
        <v>162</v>
      </c>
      <c r="AR41" s="120">
        <f t="shared" si="83"/>
        <v>18</v>
      </c>
      <c r="AS41" s="119">
        <f t="shared" si="9"/>
        <v>126</v>
      </c>
      <c r="AT41" s="135"/>
      <c r="AU41" s="135"/>
      <c r="AV41" s="135"/>
      <c r="AW41" s="118">
        <f>SUM(AT41:AV41)</f>
        <v>0</v>
      </c>
      <c r="AX41" s="119">
        <f t="shared" si="10"/>
        <v>216</v>
      </c>
      <c r="AY41" s="120">
        <f t="shared" si="84"/>
        <v>0</v>
      </c>
      <c r="AZ41" s="119">
        <f t="shared" si="11"/>
        <v>126</v>
      </c>
      <c r="BA41" s="124"/>
    </row>
    <row r="42" spans="1:53" s="1" customFormat="1" ht="45.75" customHeight="1" x14ac:dyDescent="0.2">
      <c r="A42" s="32"/>
      <c r="B42" s="59"/>
      <c r="C42" s="245"/>
      <c r="D42" s="280"/>
      <c r="E42" s="64">
        <v>35</v>
      </c>
      <c r="F42" s="178" t="s">
        <v>131</v>
      </c>
      <c r="G42" s="179" t="s">
        <v>59</v>
      </c>
      <c r="H42" s="179" t="s">
        <v>60</v>
      </c>
      <c r="I42" s="182">
        <v>0.5</v>
      </c>
      <c r="J42" s="139">
        <v>0.125</v>
      </c>
      <c r="K42" s="139">
        <v>0.125</v>
      </c>
      <c r="L42" s="139">
        <v>0.125</v>
      </c>
      <c r="M42" s="139">
        <v>0.125</v>
      </c>
      <c r="N42" s="179"/>
      <c r="O42" s="179" t="s">
        <v>66</v>
      </c>
      <c r="P42" s="64" t="s">
        <v>409</v>
      </c>
      <c r="Q42" s="8">
        <v>0.5</v>
      </c>
      <c r="R42" s="12" t="s">
        <v>405</v>
      </c>
      <c r="S42" s="64" t="s">
        <v>62</v>
      </c>
      <c r="T42" s="64" t="s">
        <v>62</v>
      </c>
      <c r="U42" s="64" t="s">
        <v>62</v>
      </c>
      <c r="V42" s="11" t="s">
        <v>406</v>
      </c>
      <c r="W42" s="122"/>
      <c r="X42" s="114"/>
      <c r="Y42" s="124"/>
      <c r="Z42" s="135">
        <v>0.45</v>
      </c>
      <c r="AA42" s="135">
        <v>0.42</v>
      </c>
      <c r="AB42" s="135">
        <v>0.41</v>
      </c>
      <c r="AC42" s="8">
        <f t="shared" ref="AC42:AC44" si="96">AVERAGE(Z42:AB42)</f>
        <v>0.42666666666666669</v>
      </c>
      <c r="AD42" s="119">
        <f t="shared" si="4"/>
        <v>0.125</v>
      </c>
      <c r="AE42" s="119">
        <f t="shared" ref="AE42:AE51" si="97">(J42*AC42)/I42</f>
        <v>0.10666666666666667</v>
      </c>
      <c r="AF42" s="135">
        <v>0.48</v>
      </c>
      <c r="AG42" s="135">
        <v>0.48</v>
      </c>
      <c r="AH42" s="135">
        <v>0.48</v>
      </c>
      <c r="AI42" s="8">
        <f t="shared" ref="AI42:AI44" si="98">AVERAGE(AF42:AH42)</f>
        <v>0.48</v>
      </c>
      <c r="AJ42" s="119">
        <f t="shared" si="5"/>
        <v>0.25</v>
      </c>
      <c r="AK42" s="119">
        <f t="shared" ref="AK42:AK51" si="99">(K42*AI42)/I42</f>
        <v>0.12</v>
      </c>
      <c r="AL42" s="119">
        <f t="shared" si="6"/>
        <v>0.22666666666666668</v>
      </c>
      <c r="AM42" s="135">
        <f t="shared" si="7"/>
        <v>0.5</v>
      </c>
      <c r="AN42" s="135"/>
      <c r="AO42" s="135"/>
      <c r="AP42" s="8">
        <f t="shared" ref="AP42:AP44" si="100">AVERAGE(AM42:AO42)</f>
        <v>0.5</v>
      </c>
      <c r="AQ42" s="119">
        <f t="shared" si="8"/>
        <v>0.375</v>
      </c>
      <c r="AR42" s="119">
        <f t="shared" ref="AR42:AR51" si="101">(L42*AP42)/I42</f>
        <v>0.125</v>
      </c>
      <c r="AS42" s="119">
        <f t="shared" si="9"/>
        <v>0.35166666666666668</v>
      </c>
      <c r="AT42" s="135"/>
      <c r="AU42" s="135"/>
      <c r="AV42" s="135"/>
      <c r="AW42" s="8" t="e">
        <f t="shared" ref="AW42:AW44" si="102">AVERAGE(AT42:AV42)</f>
        <v>#DIV/0!</v>
      </c>
      <c r="AX42" s="119">
        <f t="shared" si="10"/>
        <v>0.5</v>
      </c>
      <c r="AY42" s="119" t="e">
        <f t="shared" ref="AY42:AY51" si="103">(M42*AW42)/I42</f>
        <v>#DIV/0!</v>
      </c>
      <c r="AZ42" s="119" t="e">
        <f t="shared" si="11"/>
        <v>#DIV/0!</v>
      </c>
      <c r="BA42" s="124"/>
    </row>
    <row r="43" spans="1:53" s="1" customFormat="1" ht="36" customHeight="1" x14ac:dyDescent="0.2">
      <c r="A43" s="32"/>
      <c r="B43" s="59"/>
      <c r="C43" s="245"/>
      <c r="D43" s="281"/>
      <c r="E43" s="64">
        <v>36</v>
      </c>
      <c r="F43" s="178" t="s">
        <v>132</v>
      </c>
      <c r="G43" s="179" t="s">
        <v>59</v>
      </c>
      <c r="H43" s="179" t="s">
        <v>60</v>
      </c>
      <c r="I43" s="138">
        <v>60</v>
      </c>
      <c r="J43" s="138">
        <v>15</v>
      </c>
      <c r="K43" s="138">
        <v>15</v>
      </c>
      <c r="L43" s="138">
        <v>15</v>
      </c>
      <c r="M43" s="138">
        <v>15</v>
      </c>
      <c r="N43" s="179"/>
      <c r="O43" s="179" t="s">
        <v>66</v>
      </c>
      <c r="P43" s="64" t="s">
        <v>409</v>
      </c>
      <c r="Q43" s="8">
        <v>61.71</v>
      </c>
      <c r="R43" s="12" t="s">
        <v>404</v>
      </c>
      <c r="S43" s="64" t="s">
        <v>62</v>
      </c>
      <c r="T43" s="64" t="s">
        <v>62</v>
      </c>
      <c r="U43" s="64" t="s">
        <v>62</v>
      </c>
      <c r="V43" s="11" t="s">
        <v>406</v>
      </c>
      <c r="W43" s="122"/>
      <c r="X43" s="114"/>
      <c r="Y43" s="124"/>
      <c r="Z43" s="135">
        <v>61.08</v>
      </c>
      <c r="AA43" s="135">
        <v>61.09</v>
      </c>
      <c r="AB43" s="135">
        <v>61.22</v>
      </c>
      <c r="AC43" s="8">
        <f t="shared" si="96"/>
        <v>61.129999999999995</v>
      </c>
      <c r="AD43" s="119">
        <f t="shared" si="4"/>
        <v>15</v>
      </c>
      <c r="AE43" s="119">
        <f t="shared" si="97"/>
        <v>15.282499999999999</v>
      </c>
      <c r="AF43" s="135">
        <v>61.26</v>
      </c>
      <c r="AG43" s="135">
        <v>61.49</v>
      </c>
      <c r="AH43" s="135">
        <v>61.72</v>
      </c>
      <c r="AI43" s="8">
        <f t="shared" si="98"/>
        <v>61.49</v>
      </c>
      <c r="AJ43" s="119">
        <f t="shared" si="5"/>
        <v>30</v>
      </c>
      <c r="AK43" s="119">
        <f t="shared" si="99"/>
        <v>15.3725</v>
      </c>
      <c r="AL43" s="119">
        <f t="shared" si="6"/>
        <v>30.655000000000001</v>
      </c>
      <c r="AM43" s="135">
        <f t="shared" si="7"/>
        <v>61.71</v>
      </c>
      <c r="AN43" s="135"/>
      <c r="AO43" s="135"/>
      <c r="AP43" s="8">
        <f t="shared" si="100"/>
        <v>61.71</v>
      </c>
      <c r="AQ43" s="119">
        <f t="shared" si="8"/>
        <v>45</v>
      </c>
      <c r="AR43" s="119">
        <f t="shared" si="101"/>
        <v>15.4275</v>
      </c>
      <c r="AS43" s="119">
        <f t="shared" si="9"/>
        <v>46.082500000000003</v>
      </c>
      <c r="AT43" s="135"/>
      <c r="AU43" s="135"/>
      <c r="AV43" s="135"/>
      <c r="AW43" s="8" t="e">
        <f t="shared" si="102"/>
        <v>#DIV/0!</v>
      </c>
      <c r="AX43" s="119">
        <f t="shared" si="10"/>
        <v>60</v>
      </c>
      <c r="AY43" s="119" t="e">
        <f t="shared" si="103"/>
        <v>#DIV/0!</v>
      </c>
      <c r="AZ43" s="119" t="e">
        <f t="shared" si="11"/>
        <v>#DIV/0!</v>
      </c>
      <c r="BA43" s="124"/>
    </row>
    <row r="44" spans="1:53" s="1" customFormat="1" ht="45" customHeight="1" x14ac:dyDescent="0.2">
      <c r="A44" s="32"/>
      <c r="B44" s="59"/>
      <c r="C44" s="245"/>
      <c r="D44" s="173" t="s">
        <v>133</v>
      </c>
      <c r="E44" s="64">
        <v>37</v>
      </c>
      <c r="F44" s="183" t="s">
        <v>134</v>
      </c>
      <c r="G44" s="184" t="s">
        <v>59</v>
      </c>
      <c r="H44" s="184" t="s">
        <v>60</v>
      </c>
      <c r="I44" s="176">
        <v>100</v>
      </c>
      <c r="J44" s="176">
        <v>25</v>
      </c>
      <c r="K44" s="176">
        <v>25</v>
      </c>
      <c r="L44" s="176">
        <v>25</v>
      </c>
      <c r="M44" s="176">
        <v>25</v>
      </c>
      <c r="N44" s="179"/>
      <c r="O44" s="179" t="s">
        <v>66</v>
      </c>
      <c r="P44" s="64" t="s">
        <v>410</v>
      </c>
      <c r="Q44" s="8">
        <v>54.16</v>
      </c>
      <c r="R44" s="12" t="s">
        <v>302</v>
      </c>
      <c r="S44" s="64" t="s">
        <v>62</v>
      </c>
      <c r="T44" s="225" t="s">
        <v>303</v>
      </c>
      <c r="U44" s="64" t="s">
        <v>62</v>
      </c>
      <c r="V44" s="11" t="s">
        <v>304</v>
      </c>
      <c r="W44" s="124" t="s">
        <v>440</v>
      </c>
      <c r="X44" s="124"/>
      <c r="Y44" s="124"/>
      <c r="Z44" s="135">
        <v>55.63</v>
      </c>
      <c r="AA44" s="135">
        <v>44.87</v>
      </c>
      <c r="AB44" s="135">
        <v>60.21</v>
      </c>
      <c r="AC44" s="8">
        <f t="shared" si="96"/>
        <v>53.57</v>
      </c>
      <c r="AD44" s="119">
        <f t="shared" si="4"/>
        <v>25</v>
      </c>
      <c r="AE44" s="119">
        <f t="shared" si="97"/>
        <v>13.3925</v>
      </c>
      <c r="AF44" s="135">
        <v>45.25</v>
      </c>
      <c r="AG44" s="135">
        <v>39.840000000000003</v>
      </c>
      <c r="AH44" s="135">
        <v>60.3</v>
      </c>
      <c r="AI44" s="8">
        <f t="shared" si="98"/>
        <v>48.463333333333331</v>
      </c>
      <c r="AJ44" s="119">
        <f t="shared" si="5"/>
        <v>50</v>
      </c>
      <c r="AK44" s="119">
        <f t="shared" si="99"/>
        <v>12.115833333333333</v>
      </c>
      <c r="AL44" s="119">
        <f t="shared" si="6"/>
        <v>25.508333333333333</v>
      </c>
      <c r="AM44" s="135">
        <f t="shared" si="7"/>
        <v>54.16</v>
      </c>
      <c r="AN44" s="135"/>
      <c r="AO44" s="135"/>
      <c r="AP44" s="8">
        <f t="shared" si="100"/>
        <v>54.16</v>
      </c>
      <c r="AQ44" s="119">
        <f t="shared" si="8"/>
        <v>75</v>
      </c>
      <c r="AR44" s="119">
        <f t="shared" si="101"/>
        <v>13.54</v>
      </c>
      <c r="AS44" s="119">
        <f t="shared" si="9"/>
        <v>39.048333333333332</v>
      </c>
      <c r="AT44" s="135"/>
      <c r="AU44" s="135"/>
      <c r="AV44" s="135"/>
      <c r="AW44" s="8" t="e">
        <f t="shared" si="102"/>
        <v>#DIV/0!</v>
      </c>
      <c r="AX44" s="119">
        <f t="shared" si="10"/>
        <v>100</v>
      </c>
      <c r="AY44" s="119" t="e">
        <f t="shared" si="103"/>
        <v>#DIV/0!</v>
      </c>
      <c r="AZ44" s="119" t="e">
        <f t="shared" si="11"/>
        <v>#DIV/0!</v>
      </c>
      <c r="BA44" s="124"/>
    </row>
    <row r="45" spans="1:53" s="1" customFormat="1" ht="44.25" customHeight="1" x14ac:dyDescent="0.2">
      <c r="A45" s="32"/>
      <c r="B45" s="59"/>
      <c r="C45" s="245"/>
      <c r="D45" s="173" t="s">
        <v>135</v>
      </c>
      <c r="E45" s="64">
        <v>38</v>
      </c>
      <c r="F45" s="183" t="s">
        <v>136</v>
      </c>
      <c r="G45" s="184" t="s">
        <v>59</v>
      </c>
      <c r="H45" s="184" t="s">
        <v>60</v>
      </c>
      <c r="I45" s="176">
        <v>100</v>
      </c>
      <c r="J45" s="176">
        <v>25</v>
      </c>
      <c r="K45" s="176">
        <v>25</v>
      </c>
      <c r="L45" s="176">
        <v>25</v>
      </c>
      <c r="M45" s="176">
        <v>25</v>
      </c>
      <c r="N45" s="179"/>
      <c r="O45" s="179" t="s">
        <v>66</v>
      </c>
      <c r="P45" s="64" t="s">
        <v>410</v>
      </c>
      <c r="Q45" s="8">
        <v>79.39</v>
      </c>
      <c r="R45" s="12" t="s">
        <v>302</v>
      </c>
      <c r="S45" s="64" t="s">
        <v>62</v>
      </c>
      <c r="T45" s="225" t="s">
        <v>305</v>
      </c>
      <c r="U45" s="64" t="s">
        <v>62</v>
      </c>
      <c r="V45" s="11" t="s">
        <v>306</v>
      </c>
      <c r="W45" s="124" t="s">
        <v>440</v>
      </c>
      <c r="X45" s="114"/>
      <c r="Y45" s="124"/>
      <c r="Z45" s="135">
        <v>113.41</v>
      </c>
      <c r="AA45" s="135">
        <v>75.67</v>
      </c>
      <c r="AB45" s="135">
        <v>82.49</v>
      </c>
      <c r="AC45" s="118">
        <f>AVERAGE(Z45:AB45)</f>
        <v>90.523333333333326</v>
      </c>
      <c r="AD45" s="119">
        <f t="shared" si="4"/>
        <v>25</v>
      </c>
      <c r="AE45" s="119">
        <f t="shared" si="97"/>
        <v>22.630833333333332</v>
      </c>
      <c r="AF45" s="135">
        <v>71.48</v>
      </c>
      <c r="AG45" s="135">
        <v>70.91</v>
      </c>
      <c r="AH45" s="135">
        <v>63.5</v>
      </c>
      <c r="AI45" s="118">
        <f>AVERAGE(AF45:AH45)</f>
        <v>68.63</v>
      </c>
      <c r="AJ45" s="119">
        <f t="shared" si="5"/>
        <v>50</v>
      </c>
      <c r="AK45" s="119">
        <f t="shared" si="99"/>
        <v>17.157499999999999</v>
      </c>
      <c r="AL45" s="119">
        <f t="shared" si="6"/>
        <v>39.788333333333327</v>
      </c>
      <c r="AM45" s="135">
        <f t="shared" si="7"/>
        <v>79.39</v>
      </c>
      <c r="AN45" s="135"/>
      <c r="AO45" s="135"/>
      <c r="AP45" s="118">
        <f>AVERAGE(AM45:AO45)</f>
        <v>79.39</v>
      </c>
      <c r="AQ45" s="119">
        <f t="shared" si="8"/>
        <v>75</v>
      </c>
      <c r="AR45" s="119">
        <f t="shared" si="101"/>
        <v>19.8475</v>
      </c>
      <c r="AS45" s="119">
        <f t="shared" si="9"/>
        <v>59.635833333333323</v>
      </c>
      <c r="AT45" s="135"/>
      <c r="AU45" s="135"/>
      <c r="AV45" s="135"/>
      <c r="AW45" s="118" t="e">
        <f>AVERAGE(AT45:AV45)</f>
        <v>#DIV/0!</v>
      </c>
      <c r="AX45" s="119">
        <f t="shared" si="10"/>
        <v>100</v>
      </c>
      <c r="AY45" s="119" t="e">
        <f t="shared" si="103"/>
        <v>#DIV/0!</v>
      </c>
      <c r="AZ45" s="119" t="e">
        <f t="shared" si="11"/>
        <v>#DIV/0!</v>
      </c>
      <c r="BA45" s="124"/>
    </row>
    <row r="46" spans="1:53" s="1" customFormat="1" ht="44.25" customHeight="1" x14ac:dyDescent="0.2">
      <c r="A46" s="32"/>
      <c r="B46" s="59"/>
      <c r="C46" s="245"/>
      <c r="D46" s="173" t="s">
        <v>137</v>
      </c>
      <c r="E46" s="64">
        <v>39</v>
      </c>
      <c r="F46" s="185" t="s">
        <v>138</v>
      </c>
      <c r="G46" s="184" t="s">
        <v>59</v>
      </c>
      <c r="H46" s="184" t="s">
        <v>60</v>
      </c>
      <c r="I46" s="176">
        <v>100</v>
      </c>
      <c r="J46" s="176">
        <v>25</v>
      </c>
      <c r="K46" s="176">
        <v>25</v>
      </c>
      <c r="L46" s="176">
        <v>25</v>
      </c>
      <c r="M46" s="176">
        <v>25</v>
      </c>
      <c r="N46" s="179"/>
      <c r="O46" s="179" t="s">
        <v>66</v>
      </c>
      <c r="P46" s="64" t="s">
        <v>410</v>
      </c>
      <c r="Q46" s="8">
        <v>84.96</v>
      </c>
      <c r="R46" s="12" t="s">
        <v>302</v>
      </c>
      <c r="S46" s="64" t="s">
        <v>62</v>
      </c>
      <c r="T46" s="225" t="s">
        <v>307</v>
      </c>
      <c r="U46" s="64" t="s">
        <v>62</v>
      </c>
      <c r="V46" s="79" t="s">
        <v>308</v>
      </c>
      <c r="W46" s="124" t="s">
        <v>440</v>
      </c>
      <c r="X46" s="124"/>
      <c r="Y46" s="124"/>
      <c r="Z46" s="135">
        <v>105.09</v>
      </c>
      <c r="AA46" s="135">
        <v>84.6</v>
      </c>
      <c r="AB46" s="135">
        <v>87.17</v>
      </c>
      <c r="AC46" s="118">
        <f>AVERAGE(Z46:AB46)</f>
        <v>92.286666666666676</v>
      </c>
      <c r="AD46" s="119">
        <f t="shared" si="4"/>
        <v>25</v>
      </c>
      <c r="AE46" s="119">
        <f t="shared" si="97"/>
        <v>23.071666666666669</v>
      </c>
      <c r="AF46" s="135">
        <v>73.59</v>
      </c>
      <c r="AG46" s="135">
        <v>80.099999999999994</v>
      </c>
      <c r="AH46" s="135">
        <v>75.150000000000006</v>
      </c>
      <c r="AI46" s="118">
        <f>AVERAGE(AF46:AH46)</f>
        <v>76.28</v>
      </c>
      <c r="AJ46" s="119">
        <f t="shared" si="5"/>
        <v>50</v>
      </c>
      <c r="AK46" s="119">
        <f t="shared" si="99"/>
        <v>19.07</v>
      </c>
      <c r="AL46" s="119">
        <f t="shared" si="6"/>
        <v>42.141666666666666</v>
      </c>
      <c r="AM46" s="135">
        <f t="shared" si="7"/>
        <v>84.96</v>
      </c>
      <c r="AN46" s="135"/>
      <c r="AO46" s="135"/>
      <c r="AP46" s="118">
        <f>AVERAGE(AM46:AO46)</f>
        <v>84.96</v>
      </c>
      <c r="AQ46" s="119">
        <f t="shared" si="8"/>
        <v>75</v>
      </c>
      <c r="AR46" s="119">
        <f t="shared" si="101"/>
        <v>21.24</v>
      </c>
      <c r="AS46" s="119">
        <f t="shared" si="9"/>
        <v>63.381666666666661</v>
      </c>
      <c r="AT46" s="135"/>
      <c r="AU46" s="135"/>
      <c r="AV46" s="135"/>
      <c r="AW46" s="118" t="e">
        <f>AVERAGE(AT46:AV46)</f>
        <v>#DIV/0!</v>
      </c>
      <c r="AX46" s="119">
        <f t="shared" si="10"/>
        <v>100</v>
      </c>
      <c r="AY46" s="119" t="e">
        <f t="shared" si="103"/>
        <v>#DIV/0!</v>
      </c>
      <c r="AZ46" s="119" t="e">
        <f t="shared" si="11"/>
        <v>#DIV/0!</v>
      </c>
      <c r="BA46" s="124"/>
    </row>
    <row r="47" spans="1:53" s="1" customFormat="1" ht="44.25" customHeight="1" x14ac:dyDescent="0.2">
      <c r="A47" s="32"/>
      <c r="B47" s="124"/>
      <c r="C47" s="245"/>
      <c r="D47" s="173" t="s">
        <v>139</v>
      </c>
      <c r="E47" s="64">
        <v>40</v>
      </c>
      <c r="F47" s="185" t="s">
        <v>140</v>
      </c>
      <c r="G47" s="184" t="s">
        <v>59</v>
      </c>
      <c r="H47" s="184" t="s">
        <v>60</v>
      </c>
      <c r="I47" s="176">
        <v>100</v>
      </c>
      <c r="J47" s="176">
        <v>25</v>
      </c>
      <c r="K47" s="176">
        <v>25</v>
      </c>
      <c r="L47" s="176">
        <v>25</v>
      </c>
      <c r="M47" s="176">
        <v>25</v>
      </c>
      <c r="N47" s="179"/>
      <c r="O47" s="179" t="s">
        <v>66</v>
      </c>
      <c r="P47" s="64" t="s">
        <v>410</v>
      </c>
      <c r="Q47" s="8">
        <v>76.67</v>
      </c>
      <c r="R47" s="12" t="s">
        <v>302</v>
      </c>
      <c r="S47" s="64" t="s">
        <v>62</v>
      </c>
      <c r="T47" s="225" t="s">
        <v>300</v>
      </c>
      <c r="U47" s="64" t="s">
        <v>62</v>
      </c>
      <c r="V47" s="79" t="s">
        <v>301</v>
      </c>
      <c r="W47" s="124" t="s">
        <v>440</v>
      </c>
      <c r="X47" s="124"/>
      <c r="Y47" s="124"/>
      <c r="Z47" s="135">
        <v>91.84</v>
      </c>
      <c r="AA47" s="135">
        <v>70.37</v>
      </c>
      <c r="AB47" s="135">
        <v>81.33</v>
      </c>
      <c r="AC47" s="118">
        <f>AVERAGE(Z47:AB47)</f>
        <v>81.180000000000007</v>
      </c>
      <c r="AD47" s="119">
        <f t="shared" si="4"/>
        <v>25</v>
      </c>
      <c r="AE47" s="119">
        <f t="shared" si="97"/>
        <v>20.295000000000002</v>
      </c>
      <c r="AF47" s="135">
        <v>90.58</v>
      </c>
      <c r="AG47" s="135">
        <v>85.93</v>
      </c>
      <c r="AH47" s="135">
        <v>78.569999999999993</v>
      </c>
      <c r="AI47" s="118">
        <f>AVERAGE(AF47:AH47)</f>
        <v>85.026666666666657</v>
      </c>
      <c r="AJ47" s="119">
        <f t="shared" si="5"/>
        <v>50</v>
      </c>
      <c r="AK47" s="119">
        <f t="shared" si="99"/>
        <v>21.256666666666664</v>
      </c>
      <c r="AL47" s="119">
        <f t="shared" si="6"/>
        <v>41.551666666666662</v>
      </c>
      <c r="AM47" s="135">
        <f t="shared" si="7"/>
        <v>76.67</v>
      </c>
      <c r="AN47" s="135"/>
      <c r="AO47" s="135"/>
      <c r="AP47" s="118">
        <f>AVERAGE(AM47:AO47)</f>
        <v>76.67</v>
      </c>
      <c r="AQ47" s="119">
        <f t="shared" si="8"/>
        <v>75</v>
      </c>
      <c r="AR47" s="119">
        <f t="shared" si="101"/>
        <v>19.1675</v>
      </c>
      <c r="AS47" s="119">
        <f t="shared" si="9"/>
        <v>60.719166666666666</v>
      </c>
      <c r="AT47" s="135"/>
      <c r="AU47" s="135"/>
      <c r="AV47" s="135"/>
      <c r="AW47" s="118" t="e">
        <f>AVERAGE(AT47:AV47)</f>
        <v>#DIV/0!</v>
      </c>
      <c r="AX47" s="119">
        <f t="shared" si="10"/>
        <v>100</v>
      </c>
      <c r="AY47" s="119" t="e">
        <f t="shared" si="103"/>
        <v>#DIV/0!</v>
      </c>
      <c r="AZ47" s="119" t="e">
        <f t="shared" si="11"/>
        <v>#DIV/0!</v>
      </c>
      <c r="BA47" s="124"/>
    </row>
    <row r="48" spans="1:53" s="1" customFormat="1" ht="44.25" customHeight="1" x14ac:dyDescent="0.2">
      <c r="A48" s="32"/>
      <c r="B48" s="59"/>
      <c r="C48" s="245"/>
      <c r="D48" s="263" t="s">
        <v>141</v>
      </c>
      <c r="E48" s="64">
        <v>41</v>
      </c>
      <c r="F48" s="185" t="s">
        <v>142</v>
      </c>
      <c r="G48" s="184" t="s">
        <v>59</v>
      </c>
      <c r="H48" s="184" t="s">
        <v>60</v>
      </c>
      <c r="I48" s="176">
        <v>100</v>
      </c>
      <c r="J48" s="176">
        <v>25</v>
      </c>
      <c r="K48" s="176">
        <v>25</v>
      </c>
      <c r="L48" s="176">
        <v>25</v>
      </c>
      <c r="M48" s="176">
        <v>25</v>
      </c>
      <c r="N48" s="179"/>
      <c r="O48" s="179" t="s">
        <v>66</v>
      </c>
      <c r="P48" s="64" t="s">
        <v>410</v>
      </c>
      <c r="Q48" s="8">
        <v>81</v>
      </c>
      <c r="R48" s="12" t="s">
        <v>302</v>
      </c>
      <c r="S48" s="64" t="s">
        <v>62</v>
      </c>
      <c r="T48" s="225" t="s">
        <v>309</v>
      </c>
      <c r="U48" s="64" t="s">
        <v>62</v>
      </c>
      <c r="V48" s="79" t="s">
        <v>310</v>
      </c>
      <c r="W48" s="124" t="s">
        <v>440</v>
      </c>
      <c r="X48" s="114"/>
      <c r="Y48" s="124"/>
      <c r="Z48" s="135">
        <v>87</v>
      </c>
      <c r="AA48" s="135">
        <v>75</v>
      </c>
      <c r="AB48" s="135">
        <v>87</v>
      </c>
      <c r="AC48" s="118">
        <f>AVERAGE(Z48:AB48)</f>
        <v>83</v>
      </c>
      <c r="AD48" s="119">
        <f t="shared" si="4"/>
        <v>25</v>
      </c>
      <c r="AE48" s="119">
        <f t="shared" si="97"/>
        <v>20.75</v>
      </c>
      <c r="AF48" s="135">
        <v>72</v>
      </c>
      <c r="AG48" s="135">
        <v>73</v>
      </c>
      <c r="AH48" s="135">
        <v>78</v>
      </c>
      <c r="AI48" s="118">
        <f>AVERAGE(AF48:AH48)</f>
        <v>74.333333333333329</v>
      </c>
      <c r="AJ48" s="119">
        <f t="shared" si="5"/>
        <v>50</v>
      </c>
      <c r="AK48" s="119">
        <f t="shared" si="99"/>
        <v>18.583333333333332</v>
      </c>
      <c r="AL48" s="119">
        <f t="shared" si="6"/>
        <v>39.333333333333329</v>
      </c>
      <c r="AM48" s="135">
        <f t="shared" si="7"/>
        <v>81</v>
      </c>
      <c r="AN48" s="135"/>
      <c r="AO48" s="135"/>
      <c r="AP48" s="118">
        <f>AVERAGE(AM48:AO48)</f>
        <v>81</v>
      </c>
      <c r="AQ48" s="119">
        <f t="shared" si="8"/>
        <v>75</v>
      </c>
      <c r="AR48" s="119">
        <f t="shared" si="101"/>
        <v>20.25</v>
      </c>
      <c r="AS48" s="119">
        <f t="shared" si="9"/>
        <v>59.583333333333329</v>
      </c>
      <c r="AT48" s="135"/>
      <c r="AU48" s="135"/>
      <c r="AV48" s="135"/>
      <c r="AW48" s="118" t="e">
        <f>AVERAGE(AT48:AV48)</f>
        <v>#DIV/0!</v>
      </c>
      <c r="AX48" s="119">
        <f t="shared" si="10"/>
        <v>100</v>
      </c>
      <c r="AY48" s="119" t="e">
        <f t="shared" si="103"/>
        <v>#DIV/0!</v>
      </c>
      <c r="AZ48" s="119" t="e">
        <f t="shared" si="11"/>
        <v>#DIV/0!</v>
      </c>
      <c r="BA48" s="124"/>
    </row>
    <row r="49" spans="1:53" s="1" customFormat="1" ht="44.25" customHeight="1" x14ac:dyDescent="0.2">
      <c r="A49" s="32"/>
      <c r="B49" s="59"/>
      <c r="C49" s="245"/>
      <c r="D49" s="264"/>
      <c r="E49" s="64">
        <v>42</v>
      </c>
      <c r="F49" s="185" t="s">
        <v>143</v>
      </c>
      <c r="G49" s="184" t="s">
        <v>59</v>
      </c>
      <c r="H49" s="184" t="s">
        <v>60</v>
      </c>
      <c r="I49" s="176">
        <v>60</v>
      </c>
      <c r="J49" s="176">
        <v>15</v>
      </c>
      <c r="K49" s="176">
        <v>15</v>
      </c>
      <c r="L49" s="176">
        <v>15</v>
      </c>
      <c r="M49" s="176">
        <v>15</v>
      </c>
      <c r="N49" s="179"/>
      <c r="O49" s="179" t="s">
        <v>66</v>
      </c>
      <c r="P49" s="64" t="s">
        <v>410</v>
      </c>
      <c r="Q49" s="8">
        <v>40.22</v>
      </c>
      <c r="R49" s="12" t="s">
        <v>311</v>
      </c>
      <c r="S49" s="64" t="s">
        <v>62</v>
      </c>
      <c r="T49" s="225" t="s">
        <v>309</v>
      </c>
      <c r="U49" s="64" t="s">
        <v>62</v>
      </c>
      <c r="V49" s="79" t="s">
        <v>312</v>
      </c>
      <c r="W49" s="124" t="s">
        <v>440</v>
      </c>
      <c r="X49" s="114"/>
      <c r="Y49" s="124"/>
      <c r="Z49" s="135">
        <v>43.01</v>
      </c>
      <c r="AA49" s="135">
        <v>36.409999999999997</v>
      </c>
      <c r="AB49" s="135">
        <v>41.53</v>
      </c>
      <c r="AC49" s="118">
        <f t="shared" ref="AC49:AC50" si="104">AVERAGE(Z49:AB49)</f>
        <v>40.316666666666663</v>
      </c>
      <c r="AD49" s="119">
        <f t="shared" ref="AD49:AD50" si="105">J49</f>
        <v>15</v>
      </c>
      <c r="AE49" s="119">
        <f t="shared" ref="AE49:AE50" si="106">(J49*AC49)/I49</f>
        <v>10.079166666666667</v>
      </c>
      <c r="AF49" s="135">
        <v>38.090000000000003</v>
      </c>
      <c r="AG49" s="135">
        <v>41.44</v>
      </c>
      <c r="AH49" s="135">
        <v>38.93</v>
      </c>
      <c r="AI49" s="118">
        <f t="shared" ref="AI49:AI50" si="107">AVERAGE(AF49:AH49)</f>
        <v>39.486666666666672</v>
      </c>
      <c r="AJ49" s="119">
        <f t="shared" ref="AJ49:AJ50" si="108">J49+K49</f>
        <v>30</v>
      </c>
      <c r="AK49" s="119">
        <f t="shared" ref="AK49:AK50" si="109">(K49*AI49)/I49</f>
        <v>9.8716666666666679</v>
      </c>
      <c r="AL49" s="119">
        <f t="shared" ref="AL49:AL50" si="110">AE49+AK49</f>
        <v>19.950833333333335</v>
      </c>
      <c r="AM49" s="135">
        <f t="shared" si="7"/>
        <v>40.22</v>
      </c>
      <c r="AN49" s="135"/>
      <c r="AO49" s="135"/>
      <c r="AP49" s="118">
        <f t="shared" ref="AP49:AP50" si="111">AVERAGE(AM49:AO49)</f>
        <v>40.22</v>
      </c>
      <c r="AQ49" s="119">
        <f t="shared" ref="AQ49:AQ50" si="112">J49+K49+L49</f>
        <v>45</v>
      </c>
      <c r="AR49" s="119">
        <f t="shared" ref="AR49:AR50" si="113">(L49*AP49)/I49</f>
        <v>10.055</v>
      </c>
      <c r="AS49" s="119">
        <f t="shared" ref="AS49:AS50" si="114">AE49+AK49+AR49</f>
        <v>30.005833333333335</v>
      </c>
      <c r="AT49" s="135"/>
      <c r="AU49" s="135"/>
      <c r="AV49" s="135"/>
      <c r="AW49" s="118" t="e">
        <f t="shared" ref="AW49:AW50" si="115">AVERAGE(AT49:AV49)</f>
        <v>#DIV/0!</v>
      </c>
      <c r="AX49" s="119">
        <f t="shared" ref="AX49:AX50" si="116">J49+K49+L49+M49</f>
        <v>60</v>
      </c>
      <c r="AY49" s="119" t="e">
        <f t="shared" ref="AY49:AY50" si="117">(M49*AW49)/I49</f>
        <v>#DIV/0!</v>
      </c>
      <c r="AZ49" s="119" t="e">
        <f t="shared" ref="AZ49:AZ50" si="118">AE49+AK49+AR49+AY49</f>
        <v>#DIV/0!</v>
      </c>
      <c r="BA49" s="124"/>
    </row>
    <row r="50" spans="1:53" s="1" customFormat="1" ht="44.25" customHeight="1" x14ac:dyDescent="0.2">
      <c r="A50" s="32"/>
      <c r="B50" s="59"/>
      <c r="C50" s="246"/>
      <c r="D50" s="265"/>
      <c r="E50" s="64">
        <v>43</v>
      </c>
      <c r="F50" s="185" t="s">
        <v>144</v>
      </c>
      <c r="G50" s="184" t="s">
        <v>59</v>
      </c>
      <c r="H50" s="184" t="s">
        <v>60</v>
      </c>
      <c r="I50" s="176">
        <v>10</v>
      </c>
      <c r="J50" s="176">
        <v>2</v>
      </c>
      <c r="K50" s="176">
        <v>3</v>
      </c>
      <c r="L50" s="176">
        <v>2</v>
      </c>
      <c r="M50" s="176">
        <v>3</v>
      </c>
      <c r="N50" s="179"/>
      <c r="O50" s="179" t="s">
        <v>66</v>
      </c>
      <c r="P50" s="64" t="s">
        <v>410</v>
      </c>
      <c r="Q50" s="8">
        <v>0.53</v>
      </c>
      <c r="R50" s="12" t="s">
        <v>313</v>
      </c>
      <c r="S50" s="64" t="s">
        <v>62</v>
      </c>
      <c r="T50" s="225" t="s">
        <v>309</v>
      </c>
      <c r="U50" s="64" t="s">
        <v>62</v>
      </c>
      <c r="V50" s="79" t="s">
        <v>312</v>
      </c>
      <c r="W50" s="124" t="s">
        <v>440</v>
      </c>
      <c r="X50" s="114"/>
      <c r="Y50" s="124"/>
      <c r="Z50" s="135">
        <v>0.49</v>
      </c>
      <c r="AA50" s="135">
        <v>0.42</v>
      </c>
      <c r="AB50" s="135">
        <v>0.57999999999999996</v>
      </c>
      <c r="AC50" s="118">
        <f t="shared" si="104"/>
        <v>0.49666666666666659</v>
      </c>
      <c r="AD50" s="119">
        <f t="shared" si="105"/>
        <v>2</v>
      </c>
      <c r="AE50" s="119">
        <f t="shared" si="106"/>
        <v>9.9333333333333315E-2</v>
      </c>
      <c r="AF50" s="135">
        <v>0.48</v>
      </c>
      <c r="AG50" s="135">
        <v>0.48</v>
      </c>
      <c r="AH50" s="135">
        <v>0.51</v>
      </c>
      <c r="AI50" s="118">
        <f t="shared" si="107"/>
        <v>0.49</v>
      </c>
      <c r="AJ50" s="119">
        <f t="shared" si="108"/>
        <v>5</v>
      </c>
      <c r="AK50" s="119">
        <f t="shared" si="109"/>
        <v>0.14699999999999999</v>
      </c>
      <c r="AL50" s="119">
        <f t="shared" si="110"/>
        <v>0.24633333333333329</v>
      </c>
      <c r="AM50" s="135">
        <f t="shared" si="7"/>
        <v>0.53</v>
      </c>
      <c r="AN50" s="135"/>
      <c r="AO50" s="135"/>
      <c r="AP50" s="118">
        <f t="shared" si="111"/>
        <v>0.53</v>
      </c>
      <c r="AQ50" s="119">
        <f t="shared" si="112"/>
        <v>7</v>
      </c>
      <c r="AR50" s="119">
        <f t="shared" si="113"/>
        <v>0.10600000000000001</v>
      </c>
      <c r="AS50" s="119">
        <f t="shared" si="114"/>
        <v>0.35233333333333328</v>
      </c>
      <c r="AT50" s="135"/>
      <c r="AU50" s="135"/>
      <c r="AV50" s="135"/>
      <c r="AW50" s="118" t="e">
        <f t="shared" si="115"/>
        <v>#DIV/0!</v>
      </c>
      <c r="AX50" s="119">
        <f t="shared" si="116"/>
        <v>10</v>
      </c>
      <c r="AY50" s="119" t="e">
        <f t="shared" si="117"/>
        <v>#DIV/0!</v>
      </c>
      <c r="AZ50" s="119" t="e">
        <f t="shared" si="118"/>
        <v>#DIV/0!</v>
      </c>
      <c r="BA50" s="124"/>
    </row>
    <row r="51" spans="1:53" s="1" customFormat="1" ht="51" customHeight="1" x14ac:dyDescent="0.2">
      <c r="A51" s="32"/>
      <c r="B51" s="59"/>
      <c r="C51" s="186" t="s">
        <v>145</v>
      </c>
      <c r="D51" s="187" t="s">
        <v>146</v>
      </c>
      <c r="E51" s="64">
        <v>44</v>
      </c>
      <c r="F51" s="11" t="s">
        <v>147</v>
      </c>
      <c r="G51" s="188" t="s">
        <v>59</v>
      </c>
      <c r="H51" s="188" t="s">
        <v>60</v>
      </c>
      <c r="I51" s="189">
        <v>100</v>
      </c>
      <c r="J51" s="176">
        <v>25</v>
      </c>
      <c r="K51" s="176">
        <v>25</v>
      </c>
      <c r="L51" s="176">
        <v>25</v>
      </c>
      <c r="M51" s="176">
        <v>25</v>
      </c>
      <c r="N51" s="179"/>
      <c r="O51" s="179" t="s">
        <v>66</v>
      </c>
      <c r="P51" s="64" t="s">
        <v>409</v>
      </c>
      <c r="Q51" s="8">
        <v>100</v>
      </c>
      <c r="R51" s="78" t="s">
        <v>371</v>
      </c>
      <c r="S51" s="64" t="s">
        <v>62</v>
      </c>
      <c r="T51" s="64" t="s">
        <v>62</v>
      </c>
      <c r="U51" s="64" t="s">
        <v>62</v>
      </c>
      <c r="V51" s="11" t="s">
        <v>372</v>
      </c>
      <c r="W51" s="129"/>
      <c r="X51" s="124"/>
      <c r="Y51" s="124"/>
      <c r="Z51" s="135">
        <v>100</v>
      </c>
      <c r="AA51" s="135">
        <v>100</v>
      </c>
      <c r="AB51" s="135">
        <v>100</v>
      </c>
      <c r="AC51" s="118">
        <f>AVERAGE(Z51:AB51)</f>
        <v>100</v>
      </c>
      <c r="AD51" s="119">
        <f t="shared" si="4"/>
        <v>25</v>
      </c>
      <c r="AE51" s="119">
        <f t="shared" si="97"/>
        <v>25</v>
      </c>
      <c r="AF51" s="135">
        <v>100</v>
      </c>
      <c r="AG51" s="135">
        <v>100</v>
      </c>
      <c r="AH51" s="135">
        <v>100</v>
      </c>
      <c r="AI51" s="118">
        <f>AVERAGE(AF51:AH51)</f>
        <v>100</v>
      </c>
      <c r="AJ51" s="119">
        <f t="shared" si="5"/>
        <v>50</v>
      </c>
      <c r="AK51" s="119">
        <f t="shared" si="99"/>
        <v>25</v>
      </c>
      <c r="AL51" s="119">
        <f t="shared" si="6"/>
        <v>50</v>
      </c>
      <c r="AM51" s="135">
        <f t="shared" si="7"/>
        <v>100</v>
      </c>
      <c r="AN51" s="135"/>
      <c r="AO51" s="135"/>
      <c r="AP51" s="118">
        <f>AVERAGE(AM51:AO51)</f>
        <v>100</v>
      </c>
      <c r="AQ51" s="119">
        <f t="shared" si="8"/>
        <v>75</v>
      </c>
      <c r="AR51" s="119">
        <f t="shared" si="101"/>
        <v>25</v>
      </c>
      <c r="AS51" s="119">
        <f t="shared" si="9"/>
        <v>75</v>
      </c>
      <c r="AT51" s="135"/>
      <c r="AU51" s="135"/>
      <c r="AV51" s="135"/>
      <c r="AW51" s="118" t="e">
        <f>AVERAGE(AT51:AV51)</f>
        <v>#DIV/0!</v>
      </c>
      <c r="AX51" s="119">
        <f t="shared" si="10"/>
        <v>100</v>
      </c>
      <c r="AY51" s="119" t="e">
        <f t="shared" si="103"/>
        <v>#DIV/0!</v>
      </c>
      <c r="AZ51" s="119" t="e">
        <f t="shared" si="11"/>
        <v>#DIV/0!</v>
      </c>
      <c r="BA51" s="124"/>
    </row>
    <row r="52" spans="1:53" s="1" customFormat="1" ht="61.5" customHeight="1" x14ac:dyDescent="0.2">
      <c r="A52" s="5">
        <v>5</v>
      </c>
      <c r="B52" s="4" t="s">
        <v>148</v>
      </c>
      <c r="C52" s="244" t="s">
        <v>88</v>
      </c>
      <c r="D52" s="247" t="s">
        <v>109</v>
      </c>
      <c r="E52" s="64">
        <v>45</v>
      </c>
      <c r="F52" s="61" t="s">
        <v>149</v>
      </c>
      <c r="G52" s="164" t="s">
        <v>59</v>
      </c>
      <c r="H52" s="164" t="s">
        <v>150</v>
      </c>
      <c r="I52" s="180">
        <v>10063</v>
      </c>
      <c r="J52" s="180">
        <v>2497</v>
      </c>
      <c r="K52" s="180">
        <v>2491</v>
      </c>
      <c r="L52" s="180">
        <v>2545</v>
      </c>
      <c r="M52" s="180">
        <v>2530</v>
      </c>
      <c r="N52" s="164"/>
      <c r="O52" s="164" t="s">
        <v>66</v>
      </c>
      <c r="P52" s="64" t="s">
        <v>409</v>
      </c>
      <c r="Q52" s="8">
        <v>875</v>
      </c>
      <c r="R52" s="78" t="s">
        <v>454</v>
      </c>
      <c r="S52" s="64" t="s">
        <v>62</v>
      </c>
      <c r="T52" s="64" t="s">
        <v>62</v>
      </c>
      <c r="U52" s="225" t="s">
        <v>466</v>
      </c>
      <c r="V52" s="11" t="s">
        <v>348</v>
      </c>
      <c r="W52" s="210"/>
      <c r="X52" s="211"/>
      <c r="Y52" s="211"/>
      <c r="Z52" s="135">
        <v>957</v>
      </c>
      <c r="AA52" s="135">
        <v>856</v>
      </c>
      <c r="AB52" s="135">
        <v>962</v>
      </c>
      <c r="AC52" s="118">
        <f t="shared" ref="AC52:AC54" si="119">SUM(Z52:AB52)</f>
        <v>2775</v>
      </c>
      <c r="AD52" s="119">
        <f t="shared" si="4"/>
        <v>2497</v>
      </c>
      <c r="AE52" s="120">
        <f t="shared" ref="AE52:AE54" si="120">AC52</f>
        <v>2775</v>
      </c>
      <c r="AF52" s="135">
        <v>883</v>
      </c>
      <c r="AG52" s="135">
        <v>839</v>
      </c>
      <c r="AH52" s="135">
        <v>857</v>
      </c>
      <c r="AI52" s="118">
        <f t="shared" ref="AI52:AI54" si="121">SUM(AF52:AH52)</f>
        <v>2579</v>
      </c>
      <c r="AJ52" s="119">
        <f t="shared" si="5"/>
        <v>4988</v>
      </c>
      <c r="AK52" s="120">
        <f t="shared" ref="AK52:AK54" si="122">AI52</f>
        <v>2579</v>
      </c>
      <c r="AL52" s="119">
        <f t="shared" si="6"/>
        <v>5354</v>
      </c>
      <c r="AM52" s="135">
        <f t="shared" si="7"/>
        <v>875</v>
      </c>
      <c r="AN52" s="135"/>
      <c r="AO52" s="135"/>
      <c r="AP52" s="118">
        <f t="shared" ref="AP52:AP54" si="123">SUM(AM52:AO52)</f>
        <v>875</v>
      </c>
      <c r="AQ52" s="119">
        <f t="shared" si="8"/>
        <v>7533</v>
      </c>
      <c r="AR52" s="120">
        <f t="shared" ref="AR52:AR54" si="124">AP52</f>
        <v>875</v>
      </c>
      <c r="AS52" s="119">
        <f t="shared" si="9"/>
        <v>6229</v>
      </c>
      <c r="AT52" s="135"/>
      <c r="AU52" s="135"/>
      <c r="AV52" s="135"/>
      <c r="AW52" s="118">
        <f t="shared" ref="AW52:AW54" si="125">SUM(AT52:AV52)</f>
        <v>0</v>
      </c>
      <c r="AX52" s="119">
        <f t="shared" si="10"/>
        <v>10063</v>
      </c>
      <c r="AY52" s="120">
        <f t="shared" ref="AY52:AY54" si="126">AW52</f>
        <v>0</v>
      </c>
      <c r="AZ52" s="119">
        <f t="shared" si="11"/>
        <v>6229</v>
      </c>
      <c r="BA52" s="124"/>
    </row>
    <row r="53" spans="1:53" s="2" customFormat="1" ht="51.75" customHeight="1" x14ac:dyDescent="0.2">
      <c r="A53" s="35"/>
      <c r="B53" s="36"/>
      <c r="C53" s="245"/>
      <c r="D53" s="249"/>
      <c r="E53" s="64">
        <v>46</v>
      </c>
      <c r="F53" s="61" t="s">
        <v>151</v>
      </c>
      <c r="G53" s="164" t="s">
        <v>65</v>
      </c>
      <c r="H53" s="164" t="s">
        <v>152</v>
      </c>
      <c r="I53" s="138">
        <v>214</v>
      </c>
      <c r="J53" s="138">
        <v>62</v>
      </c>
      <c r="K53" s="138">
        <v>48</v>
      </c>
      <c r="L53" s="138">
        <v>56</v>
      </c>
      <c r="M53" s="138">
        <v>48</v>
      </c>
      <c r="N53" s="164"/>
      <c r="O53" s="164" t="s">
        <v>66</v>
      </c>
      <c r="P53" s="64" t="s">
        <v>409</v>
      </c>
      <c r="Q53" s="8">
        <v>0</v>
      </c>
      <c r="R53" s="12" t="s">
        <v>439</v>
      </c>
      <c r="S53" s="64" t="s">
        <v>62</v>
      </c>
      <c r="T53" s="225" t="s">
        <v>424</v>
      </c>
      <c r="U53" s="64" t="s">
        <v>62</v>
      </c>
      <c r="V53" s="80" t="s">
        <v>348</v>
      </c>
      <c r="W53" s="233" t="s">
        <v>423</v>
      </c>
      <c r="X53" s="211"/>
      <c r="Y53" s="211"/>
      <c r="Z53" s="135">
        <v>0</v>
      </c>
      <c r="AA53" s="135">
        <v>0</v>
      </c>
      <c r="AB53" s="135">
        <v>50</v>
      </c>
      <c r="AC53" s="118">
        <f t="shared" si="119"/>
        <v>50</v>
      </c>
      <c r="AD53" s="119">
        <f t="shared" si="4"/>
        <v>62</v>
      </c>
      <c r="AE53" s="120">
        <f t="shared" si="120"/>
        <v>50</v>
      </c>
      <c r="AF53" s="135">
        <v>0</v>
      </c>
      <c r="AG53" s="135">
        <v>0</v>
      </c>
      <c r="AH53" s="135">
        <v>49</v>
      </c>
      <c r="AI53" s="118">
        <f t="shared" si="121"/>
        <v>49</v>
      </c>
      <c r="AJ53" s="119">
        <f t="shared" si="5"/>
        <v>110</v>
      </c>
      <c r="AK53" s="120">
        <f t="shared" si="122"/>
        <v>49</v>
      </c>
      <c r="AL53" s="119">
        <f t="shared" si="6"/>
        <v>99</v>
      </c>
      <c r="AM53" s="135">
        <f t="shared" si="7"/>
        <v>0</v>
      </c>
      <c r="AN53" s="135"/>
      <c r="AO53" s="135"/>
      <c r="AP53" s="118">
        <f t="shared" si="123"/>
        <v>0</v>
      </c>
      <c r="AQ53" s="119">
        <f t="shared" si="8"/>
        <v>166</v>
      </c>
      <c r="AR53" s="120">
        <f t="shared" si="124"/>
        <v>0</v>
      </c>
      <c r="AS53" s="119">
        <f t="shared" si="9"/>
        <v>99</v>
      </c>
      <c r="AT53" s="135"/>
      <c r="AU53" s="135"/>
      <c r="AV53" s="135"/>
      <c r="AW53" s="118">
        <f t="shared" si="125"/>
        <v>0</v>
      </c>
      <c r="AX53" s="119">
        <f t="shared" si="10"/>
        <v>214</v>
      </c>
      <c r="AY53" s="120">
        <f t="shared" si="126"/>
        <v>0</v>
      </c>
      <c r="AZ53" s="119">
        <f t="shared" si="11"/>
        <v>99</v>
      </c>
      <c r="BA53" s="141"/>
    </row>
    <row r="54" spans="1:53" s="2" customFormat="1" ht="40.5" customHeight="1" x14ac:dyDescent="0.2">
      <c r="A54" s="38"/>
      <c r="B54" s="37"/>
      <c r="C54" s="245"/>
      <c r="D54" s="247" t="s">
        <v>112</v>
      </c>
      <c r="E54" s="64">
        <v>47</v>
      </c>
      <c r="F54" s="60" t="s">
        <v>153</v>
      </c>
      <c r="G54" s="64" t="s">
        <v>59</v>
      </c>
      <c r="H54" s="64" t="s">
        <v>154</v>
      </c>
      <c r="I54" s="107">
        <v>48439097</v>
      </c>
      <c r="J54" s="107">
        <v>12397143</v>
      </c>
      <c r="K54" s="107">
        <v>11618468</v>
      </c>
      <c r="L54" s="107">
        <v>12195511</v>
      </c>
      <c r="M54" s="107">
        <v>12227975</v>
      </c>
      <c r="N54" s="64"/>
      <c r="O54" s="64" t="s">
        <v>66</v>
      </c>
      <c r="P54" s="64" t="s">
        <v>409</v>
      </c>
      <c r="Q54" s="190">
        <v>3797664</v>
      </c>
      <c r="R54" s="128" t="s">
        <v>373</v>
      </c>
      <c r="S54" s="64" t="s">
        <v>62</v>
      </c>
      <c r="T54" s="64" t="s">
        <v>62</v>
      </c>
      <c r="U54" s="64" t="s">
        <v>62</v>
      </c>
      <c r="V54" s="11" t="s">
        <v>317</v>
      </c>
      <c r="W54" s="113"/>
      <c r="X54" s="121"/>
      <c r="Y54" s="141"/>
      <c r="Z54" s="135">
        <v>3740059</v>
      </c>
      <c r="AA54" s="135">
        <v>3352981</v>
      </c>
      <c r="AB54" s="135">
        <v>3732973</v>
      </c>
      <c r="AC54" s="118">
        <f t="shared" si="119"/>
        <v>10826013</v>
      </c>
      <c r="AD54" s="119">
        <f t="shared" si="4"/>
        <v>12397143</v>
      </c>
      <c r="AE54" s="120">
        <f t="shared" si="120"/>
        <v>10826013</v>
      </c>
      <c r="AF54" s="135">
        <v>3539531</v>
      </c>
      <c r="AG54" s="135">
        <v>3681315</v>
      </c>
      <c r="AH54" s="135">
        <v>3696993</v>
      </c>
      <c r="AI54" s="118">
        <f t="shared" si="121"/>
        <v>10917839</v>
      </c>
      <c r="AJ54" s="119">
        <f t="shared" si="5"/>
        <v>24015611</v>
      </c>
      <c r="AK54" s="120">
        <f t="shared" si="122"/>
        <v>10917839</v>
      </c>
      <c r="AL54" s="119">
        <f t="shared" si="6"/>
        <v>21743852</v>
      </c>
      <c r="AM54" s="135">
        <f t="shared" si="7"/>
        <v>3797664</v>
      </c>
      <c r="AN54" s="135"/>
      <c r="AO54" s="135"/>
      <c r="AP54" s="118">
        <f t="shared" si="123"/>
        <v>3797664</v>
      </c>
      <c r="AQ54" s="119">
        <f t="shared" si="8"/>
        <v>36211122</v>
      </c>
      <c r="AR54" s="120">
        <f t="shared" si="124"/>
        <v>3797664</v>
      </c>
      <c r="AS54" s="119">
        <f t="shared" si="9"/>
        <v>25541516</v>
      </c>
      <c r="AT54" s="135"/>
      <c r="AU54" s="135"/>
      <c r="AV54" s="135"/>
      <c r="AW54" s="118">
        <f t="shared" si="125"/>
        <v>0</v>
      </c>
      <c r="AX54" s="119">
        <f t="shared" si="10"/>
        <v>48439097</v>
      </c>
      <c r="AY54" s="120">
        <f t="shared" si="126"/>
        <v>0</v>
      </c>
      <c r="AZ54" s="119">
        <f t="shared" si="11"/>
        <v>25541516</v>
      </c>
      <c r="BA54" s="107"/>
    </row>
    <row r="55" spans="1:53" s="2" customFormat="1" ht="40.5" customHeight="1" x14ac:dyDescent="0.2">
      <c r="A55" s="38"/>
      <c r="B55" s="37"/>
      <c r="C55" s="245"/>
      <c r="D55" s="249"/>
      <c r="E55" s="64">
        <v>48</v>
      </c>
      <c r="F55" s="61" t="s">
        <v>155</v>
      </c>
      <c r="G55" s="164" t="s">
        <v>59</v>
      </c>
      <c r="H55" s="164" t="s">
        <v>60</v>
      </c>
      <c r="I55" s="180">
        <v>70</v>
      </c>
      <c r="J55" s="180">
        <v>20</v>
      </c>
      <c r="K55" s="180">
        <v>20</v>
      </c>
      <c r="L55" s="180">
        <v>20</v>
      </c>
      <c r="M55" s="180">
        <v>10</v>
      </c>
      <c r="N55" s="164"/>
      <c r="O55" s="164" t="s">
        <v>66</v>
      </c>
      <c r="P55" s="64" t="s">
        <v>410</v>
      </c>
      <c r="Q55" s="190">
        <v>57</v>
      </c>
      <c r="R55" s="128" t="s">
        <v>318</v>
      </c>
      <c r="S55" s="64" t="s">
        <v>62</v>
      </c>
      <c r="T55" s="225" t="s">
        <v>319</v>
      </c>
      <c r="U55" s="64" t="s">
        <v>62</v>
      </c>
      <c r="V55" s="11" t="s">
        <v>317</v>
      </c>
      <c r="W55" s="122" t="s">
        <v>433</v>
      </c>
      <c r="X55" s="121"/>
      <c r="Y55" s="141"/>
      <c r="Z55" s="135">
        <v>57</v>
      </c>
      <c r="AA55" s="135">
        <v>57</v>
      </c>
      <c r="AB55" s="135">
        <v>57</v>
      </c>
      <c r="AC55" s="118">
        <f t="shared" ref="AC55" si="127">AVERAGE(Z55:AB55)</f>
        <v>57</v>
      </c>
      <c r="AD55" s="119">
        <f t="shared" ref="AD55" si="128">J55</f>
        <v>20</v>
      </c>
      <c r="AE55" s="119">
        <f t="shared" ref="AE55" si="129">(J55*AC55)/I55</f>
        <v>16.285714285714285</v>
      </c>
      <c r="AF55" s="135">
        <v>57</v>
      </c>
      <c r="AG55" s="135">
        <v>57</v>
      </c>
      <c r="AH55" s="135">
        <v>57</v>
      </c>
      <c r="AI55" s="118">
        <f t="shared" ref="AI55" si="130">AVERAGE(AF55:AH55)</f>
        <v>57</v>
      </c>
      <c r="AJ55" s="119">
        <f t="shared" ref="AJ55" si="131">J55+K55</f>
        <v>40</v>
      </c>
      <c r="AK55" s="119">
        <f t="shared" ref="AK55" si="132">(K55*AI55)/I55</f>
        <v>16.285714285714285</v>
      </c>
      <c r="AL55" s="119">
        <f t="shared" ref="AL55" si="133">AE55+AK55</f>
        <v>32.571428571428569</v>
      </c>
      <c r="AM55" s="135">
        <f t="shared" si="7"/>
        <v>57</v>
      </c>
      <c r="AN55" s="135"/>
      <c r="AO55" s="135"/>
      <c r="AP55" s="118">
        <f t="shared" ref="AP55" si="134">AVERAGE(AM55:AO55)</f>
        <v>57</v>
      </c>
      <c r="AQ55" s="119">
        <f t="shared" ref="AQ55" si="135">J55+K55+L55</f>
        <v>60</v>
      </c>
      <c r="AR55" s="119">
        <f t="shared" ref="AR55" si="136">(L55*AP55)/I55</f>
        <v>16.285714285714285</v>
      </c>
      <c r="AS55" s="119">
        <f t="shared" ref="AS55" si="137">AE55+AK55+AR55</f>
        <v>48.857142857142854</v>
      </c>
      <c r="AT55" s="135"/>
      <c r="AU55" s="135"/>
      <c r="AV55" s="135"/>
      <c r="AW55" s="118" t="e">
        <f t="shared" ref="AW55" si="138">AVERAGE(AT55:AV55)</f>
        <v>#DIV/0!</v>
      </c>
      <c r="AX55" s="119">
        <f t="shared" ref="AX55" si="139">J55+K55+L55+M55</f>
        <v>70</v>
      </c>
      <c r="AY55" s="119" t="e">
        <f t="shared" ref="AY55" si="140">(M55*AW55)/I55</f>
        <v>#DIV/0!</v>
      </c>
      <c r="AZ55" s="119" t="e">
        <f t="shared" ref="AZ55" si="141">AE55+AK55+AR55+AY55</f>
        <v>#DIV/0!</v>
      </c>
      <c r="BA55" s="132"/>
    </row>
    <row r="56" spans="1:53" s="2" customFormat="1" ht="48.6" customHeight="1" x14ac:dyDescent="0.2">
      <c r="A56" s="39"/>
      <c r="B56" s="40"/>
      <c r="C56" s="245"/>
      <c r="D56" s="247" t="s">
        <v>114</v>
      </c>
      <c r="E56" s="64">
        <v>49</v>
      </c>
      <c r="F56" s="61" t="s">
        <v>156</v>
      </c>
      <c r="G56" s="164" t="s">
        <v>59</v>
      </c>
      <c r="H56" s="164" t="s">
        <v>60</v>
      </c>
      <c r="I56" s="138">
        <v>100</v>
      </c>
      <c r="J56" s="138">
        <v>25</v>
      </c>
      <c r="K56" s="138">
        <v>25</v>
      </c>
      <c r="L56" s="138">
        <v>25</v>
      </c>
      <c r="M56" s="138">
        <v>25</v>
      </c>
      <c r="N56" s="164" t="s">
        <v>157</v>
      </c>
      <c r="O56" s="164" t="s">
        <v>66</v>
      </c>
      <c r="P56" s="64" t="s">
        <v>409</v>
      </c>
      <c r="Q56" s="8">
        <v>100</v>
      </c>
      <c r="R56" s="61" t="s">
        <v>374</v>
      </c>
      <c r="S56" s="64" t="s">
        <v>62</v>
      </c>
      <c r="T56" s="64" t="s">
        <v>62</v>
      </c>
      <c r="U56" s="64" t="s">
        <v>62</v>
      </c>
      <c r="V56" s="11" t="s">
        <v>349</v>
      </c>
      <c r="W56" s="113"/>
      <c r="X56" s="121"/>
      <c r="Y56" s="141"/>
      <c r="Z56" s="135">
        <v>100</v>
      </c>
      <c r="AA56" s="135">
        <v>100</v>
      </c>
      <c r="AB56" s="135">
        <v>100</v>
      </c>
      <c r="AC56" s="118">
        <f t="shared" ref="AC56:AC57" si="142">AVERAGE(Z56:AB56)</f>
        <v>100</v>
      </c>
      <c r="AD56" s="119">
        <f t="shared" si="4"/>
        <v>25</v>
      </c>
      <c r="AE56" s="119">
        <f t="shared" ref="AE56:AE57" si="143">(J56*AC56)/I56</f>
        <v>25</v>
      </c>
      <c r="AF56" s="135">
        <v>100</v>
      </c>
      <c r="AG56" s="135">
        <v>100</v>
      </c>
      <c r="AH56" s="135">
        <v>100</v>
      </c>
      <c r="AI56" s="118">
        <f t="shared" ref="AI56:AI57" si="144">AVERAGE(AF56:AH56)</f>
        <v>100</v>
      </c>
      <c r="AJ56" s="119">
        <f t="shared" si="5"/>
        <v>50</v>
      </c>
      <c r="AK56" s="119">
        <f t="shared" ref="AK56:AK57" si="145">(K56*AI56)/I56</f>
        <v>25</v>
      </c>
      <c r="AL56" s="119">
        <f t="shared" si="6"/>
        <v>50</v>
      </c>
      <c r="AM56" s="135">
        <f t="shared" si="7"/>
        <v>100</v>
      </c>
      <c r="AN56" s="135"/>
      <c r="AO56" s="135"/>
      <c r="AP56" s="118">
        <f t="shared" ref="AP56:AP57" si="146">AVERAGE(AM56:AO56)</f>
        <v>100</v>
      </c>
      <c r="AQ56" s="119">
        <f t="shared" si="8"/>
        <v>75</v>
      </c>
      <c r="AR56" s="119">
        <f t="shared" ref="AR56:AR57" si="147">(L56*AP56)/I56</f>
        <v>25</v>
      </c>
      <c r="AS56" s="119">
        <f t="shared" si="9"/>
        <v>75</v>
      </c>
      <c r="AT56" s="135"/>
      <c r="AU56" s="135"/>
      <c r="AV56" s="135"/>
      <c r="AW56" s="118" t="e">
        <f t="shared" ref="AW56:AW57" si="148">AVERAGE(AT56:AV56)</f>
        <v>#DIV/0!</v>
      </c>
      <c r="AX56" s="119">
        <f t="shared" si="10"/>
        <v>100</v>
      </c>
      <c r="AY56" s="119" t="e">
        <f t="shared" ref="AY56:AY57" si="149">(M56*AW56)/I56</f>
        <v>#DIV/0!</v>
      </c>
      <c r="AZ56" s="119" t="e">
        <f t="shared" si="11"/>
        <v>#DIV/0!</v>
      </c>
      <c r="BA56" s="141"/>
    </row>
    <row r="57" spans="1:53" s="2" customFormat="1" ht="45.75" customHeight="1" x14ac:dyDescent="0.2">
      <c r="A57" s="39"/>
      <c r="B57" s="40"/>
      <c r="C57" s="245"/>
      <c r="D57" s="249"/>
      <c r="E57" s="64">
        <v>50</v>
      </c>
      <c r="F57" s="61" t="s">
        <v>158</v>
      </c>
      <c r="G57" s="164" t="s">
        <v>59</v>
      </c>
      <c r="H57" s="164" t="s">
        <v>60</v>
      </c>
      <c r="I57" s="138">
        <v>100</v>
      </c>
      <c r="J57" s="138">
        <v>25</v>
      </c>
      <c r="K57" s="138">
        <v>25</v>
      </c>
      <c r="L57" s="138">
        <v>25</v>
      </c>
      <c r="M57" s="138">
        <v>25</v>
      </c>
      <c r="N57" s="164"/>
      <c r="O57" s="164" t="s">
        <v>66</v>
      </c>
      <c r="P57" s="64" t="s">
        <v>409</v>
      </c>
      <c r="Q57" s="8">
        <v>100</v>
      </c>
      <c r="R57" s="61" t="s">
        <v>375</v>
      </c>
      <c r="S57" s="64" t="s">
        <v>62</v>
      </c>
      <c r="T57" s="64" t="s">
        <v>62</v>
      </c>
      <c r="U57" s="64" t="s">
        <v>62</v>
      </c>
      <c r="V57" s="11" t="s">
        <v>349</v>
      </c>
      <c r="W57" s="113"/>
      <c r="X57" s="121"/>
      <c r="Y57" s="141"/>
      <c r="Z57" s="135">
        <v>100</v>
      </c>
      <c r="AA57" s="135">
        <v>100</v>
      </c>
      <c r="AB57" s="135">
        <v>100</v>
      </c>
      <c r="AC57" s="118">
        <f t="shared" si="142"/>
        <v>100</v>
      </c>
      <c r="AD57" s="119">
        <f t="shared" si="4"/>
        <v>25</v>
      </c>
      <c r="AE57" s="119">
        <f t="shared" si="143"/>
        <v>25</v>
      </c>
      <c r="AF57" s="135">
        <v>100</v>
      </c>
      <c r="AG57" s="135">
        <v>100</v>
      </c>
      <c r="AH57" s="135">
        <v>100</v>
      </c>
      <c r="AI57" s="118">
        <f t="shared" si="144"/>
        <v>100</v>
      </c>
      <c r="AJ57" s="119">
        <f t="shared" si="5"/>
        <v>50</v>
      </c>
      <c r="AK57" s="119">
        <f t="shared" si="145"/>
        <v>25</v>
      </c>
      <c r="AL57" s="119">
        <f t="shared" si="6"/>
        <v>50</v>
      </c>
      <c r="AM57" s="135">
        <f t="shared" si="7"/>
        <v>100</v>
      </c>
      <c r="AN57" s="135"/>
      <c r="AO57" s="135"/>
      <c r="AP57" s="118">
        <f t="shared" si="146"/>
        <v>100</v>
      </c>
      <c r="AQ57" s="119">
        <f t="shared" si="8"/>
        <v>75</v>
      </c>
      <c r="AR57" s="119">
        <f t="shared" si="147"/>
        <v>25</v>
      </c>
      <c r="AS57" s="119">
        <f t="shared" si="9"/>
        <v>75</v>
      </c>
      <c r="AT57" s="135"/>
      <c r="AU57" s="135"/>
      <c r="AV57" s="135"/>
      <c r="AW57" s="118" t="e">
        <f t="shared" si="148"/>
        <v>#DIV/0!</v>
      </c>
      <c r="AX57" s="119">
        <f t="shared" si="10"/>
        <v>100</v>
      </c>
      <c r="AY57" s="119" t="e">
        <f t="shared" si="149"/>
        <v>#DIV/0!</v>
      </c>
      <c r="AZ57" s="119" t="e">
        <f t="shared" si="11"/>
        <v>#DIV/0!</v>
      </c>
      <c r="BA57" s="141"/>
    </row>
    <row r="58" spans="1:53" s="2" customFormat="1" ht="39" customHeight="1" x14ac:dyDescent="0.2">
      <c r="A58" s="39"/>
      <c r="B58" s="55"/>
      <c r="C58" s="246"/>
      <c r="D58" s="161" t="s">
        <v>116</v>
      </c>
      <c r="E58" s="64">
        <v>51</v>
      </c>
      <c r="F58" s="61" t="s">
        <v>159</v>
      </c>
      <c r="G58" s="164" t="s">
        <v>59</v>
      </c>
      <c r="H58" s="164" t="s">
        <v>154</v>
      </c>
      <c r="I58" s="180">
        <v>14583516</v>
      </c>
      <c r="J58" s="180">
        <v>3645879</v>
      </c>
      <c r="K58" s="180">
        <v>3645879</v>
      </c>
      <c r="L58" s="180">
        <v>3645879</v>
      </c>
      <c r="M58" s="180">
        <v>3645879</v>
      </c>
      <c r="N58" s="164"/>
      <c r="O58" s="164" t="s">
        <v>66</v>
      </c>
      <c r="P58" s="64" t="s">
        <v>409</v>
      </c>
      <c r="Q58" s="190">
        <v>1241188</v>
      </c>
      <c r="R58" s="12" t="s">
        <v>376</v>
      </c>
      <c r="S58" s="64" t="s">
        <v>62</v>
      </c>
      <c r="T58" s="64" t="s">
        <v>62</v>
      </c>
      <c r="U58" s="64" t="s">
        <v>62</v>
      </c>
      <c r="V58" s="11" t="s">
        <v>377</v>
      </c>
      <c r="W58" s="122"/>
      <c r="X58" s="121"/>
      <c r="Y58" s="141"/>
      <c r="Z58" s="135">
        <v>1227052</v>
      </c>
      <c r="AA58" s="135">
        <v>1580049</v>
      </c>
      <c r="AB58" s="135">
        <v>1238600</v>
      </c>
      <c r="AC58" s="118">
        <f t="shared" ref="AC58:AC59" si="150">SUM(Z58:AB58)</f>
        <v>4045701</v>
      </c>
      <c r="AD58" s="119">
        <f t="shared" si="4"/>
        <v>3645879</v>
      </c>
      <c r="AE58" s="120">
        <f t="shared" ref="AE58:AE59" si="151">AC58</f>
        <v>4045701</v>
      </c>
      <c r="AF58" s="135">
        <v>1216571</v>
      </c>
      <c r="AG58" s="135">
        <v>1239619</v>
      </c>
      <c r="AH58" s="135">
        <v>1222293</v>
      </c>
      <c r="AI58" s="118">
        <f t="shared" ref="AI58:AI59" si="152">SUM(AF58:AH58)</f>
        <v>3678483</v>
      </c>
      <c r="AJ58" s="119">
        <f t="shared" si="5"/>
        <v>7291758</v>
      </c>
      <c r="AK58" s="120">
        <f t="shared" ref="AK58:AK59" si="153">AI58</f>
        <v>3678483</v>
      </c>
      <c r="AL58" s="119">
        <f t="shared" si="6"/>
        <v>7724184</v>
      </c>
      <c r="AM58" s="135">
        <f t="shared" si="7"/>
        <v>1241188</v>
      </c>
      <c r="AN58" s="135"/>
      <c r="AO58" s="135"/>
      <c r="AP58" s="118">
        <f t="shared" ref="AP58:AP59" si="154">SUM(AM58:AO58)</f>
        <v>1241188</v>
      </c>
      <c r="AQ58" s="119">
        <f t="shared" si="8"/>
        <v>10937637</v>
      </c>
      <c r="AR58" s="120">
        <f t="shared" ref="AR58:AR59" si="155">AP58</f>
        <v>1241188</v>
      </c>
      <c r="AS58" s="119">
        <f t="shared" si="9"/>
        <v>8965372</v>
      </c>
      <c r="AT58" s="135"/>
      <c r="AU58" s="135"/>
      <c r="AV58" s="135"/>
      <c r="AW58" s="118">
        <f t="shared" ref="AW58:AW59" si="156">SUM(AT58:AV58)</f>
        <v>0</v>
      </c>
      <c r="AX58" s="119">
        <f t="shared" si="10"/>
        <v>14583516</v>
      </c>
      <c r="AY58" s="120">
        <f t="shared" ref="AY58:AY59" si="157">AW58</f>
        <v>0</v>
      </c>
      <c r="AZ58" s="119">
        <f t="shared" si="11"/>
        <v>8965372</v>
      </c>
      <c r="BA58" s="141"/>
    </row>
    <row r="59" spans="1:53" s="2" customFormat="1" ht="80.25" customHeight="1" x14ac:dyDescent="0.2">
      <c r="A59" s="41">
        <v>6</v>
      </c>
      <c r="B59" s="4" t="s">
        <v>160</v>
      </c>
      <c r="C59" s="244" t="s">
        <v>161</v>
      </c>
      <c r="D59" s="263" t="s">
        <v>162</v>
      </c>
      <c r="E59" s="64">
        <v>52</v>
      </c>
      <c r="F59" s="60" t="s">
        <v>163</v>
      </c>
      <c r="G59" s="64" t="s">
        <v>59</v>
      </c>
      <c r="H59" s="64" t="s">
        <v>164</v>
      </c>
      <c r="I59" s="135">
        <v>12</v>
      </c>
      <c r="J59" s="135">
        <v>3</v>
      </c>
      <c r="K59" s="135">
        <v>3</v>
      </c>
      <c r="L59" s="135">
        <v>3</v>
      </c>
      <c r="M59" s="135">
        <v>3</v>
      </c>
      <c r="N59" s="64" t="s">
        <v>66</v>
      </c>
      <c r="O59" s="64"/>
      <c r="P59" s="64" t="s">
        <v>409</v>
      </c>
      <c r="Q59" s="8">
        <v>1</v>
      </c>
      <c r="R59" s="60" t="s">
        <v>445</v>
      </c>
      <c r="S59" s="225" t="s">
        <v>408</v>
      </c>
      <c r="T59" s="225" t="s">
        <v>428</v>
      </c>
      <c r="U59" s="64" t="s">
        <v>62</v>
      </c>
      <c r="V59" s="11" t="s">
        <v>320</v>
      </c>
      <c r="W59" s="129" t="s">
        <v>429</v>
      </c>
      <c r="X59" s="141"/>
      <c r="Y59" s="141"/>
      <c r="Z59" s="135">
        <v>0</v>
      </c>
      <c r="AA59" s="135">
        <v>1</v>
      </c>
      <c r="AB59" s="135">
        <v>1</v>
      </c>
      <c r="AC59" s="118">
        <f t="shared" si="150"/>
        <v>2</v>
      </c>
      <c r="AD59" s="119">
        <f t="shared" si="4"/>
        <v>3</v>
      </c>
      <c r="AE59" s="120">
        <f t="shared" si="151"/>
        <v>2</v>
      </c>
      <c r="AF59" s="135">
        <v>1</v>
      </c>
      <c r="AG59" s="135">
        <v>0</v>
      </c>
      <c r="AH59" s="135">
        <v>1</v>
      </c>
      <c r="AI59" s="118">
        <f t="shared" si="152"/>
        <v>2</v>
      </c>
      <c r="AJ59" s="119">
        <f t="shared" si="5"/>
        <v>6</v>
      </c>
      <c r="AK59" s="120">
        <f t="shared" si="153"/>
        <v>2</v>
      </c>
      <c r="AL59" s="119">
        <f t="shared" si="6"/>
        <v>4</v>
      </c>
      <c r="AM59" s="135">
        <f t="shared" si="7"/>
        <v>1</v>
      </c>
      <c r="AN59" s="135"/>
      <c r="AO59" s="135"/>
      <c r="AP59" s="118">
        <f t="shared" si="154"/>
        <v>1</v>
      </c>
      <c r="AQ59" s="119">
        <f t="shared" si="8"/>
        <v>9</v>
      </c>
      <c r="AR59" s="120">
        <f t="shared" si="155"/>
        <v>1</v>
      </c>
      <c r="AS59" s="119">
        <f t="shared" si="9"/>
        <v>5</v>
      </c>
      <c r="AT59" s="135"/>
      <c r="AU59" s="135"/>
      <c r="AV59" s="135"/>
      <c r="AW59" s="118">
        <f t="shared" si="156"/>
        <v>0</v>
      </c>
      <c r="AX59" s="119">
        <f t="shared" si="10"/>
        <v>12</v>
      </c>
      <c r="AY59" s="120">
        <f t="shared" si="157"/>
        <v>0</v>
      </c>
      <c r="AZ59" s="119">
        <f t="shared" si="11"/>
        <v>5</v>
      </c>
      <c r="BA59" s="141"/>
    </row>
    <row r="60" spans="1:53" s="1" customFormat="1" ht="45.75" customHeight="1" x14ac:dyDescent="0.2">
      <c r="A60" s="28"/>
      <c r="B60" s="36"/>
      <c r="C60" s="245"/>
      <c r="D60" s="264"/>
      <c r="E60" s="64">
        <v>53</v>
      </c>
      <c r="F60" s="60" t="s">
        <v>165</v>
      </c>
      <c r="G60" s="64" t="s">
        <v>91</v>
      </c>
      <c r="H60" s="64" t="s">
        <v>60</v>
      </c>
      <c r="I60" s="135">
        <v>60</v>
      </c>
      <c r="J60" s="135">
        <v>0</v>
      </c>
      <c r="K60" s="135">
        <v>30</v>
      </c>
      <c r="L60" s="135">
        <v>0</v>
      </c>
      <c r="M60" s="135">
        <v>30</v>
      </c>
      <c r="N60" s="64" t="s">
        <v>66</v>
      </c>
      <c r="O60" s="64"/>
      <c r="P60" s="64" t="s">
        <v>410</v>
      </c>
      <c r="Q60" s="8">
        <v>13</v>
      </c>
      <c r="R60" s="11" t="s">
        <v>446</v>
      </c>
      <c r="S60" s="225" t="s">
        <v>449</v>
      </c>
      <c r="T60" s="64" t="s">
        <v>62</v>
      </c>
      <c r="U60" s="64" t="s">
        <v>62</v>
      </c>
      <c r="V60" s="11" t="s">
        <v>320</v>
      </c>
      <c r="W60" s="124"/>
      <c r="X60" s="124"/>
      <c r="Y60" s="124"/>
      <c r="Z60" s="135">
        <v>0</v>
      </c>
      <c r="AA60" s="135">
        <v>13</v>
      </c>
      <c r="AB60" s="135">
        <v>13</v>
      </c>
      <c r="AC60" s="145">
        <f>AB60</f>
        <v>13</v>
      </c>
      <c r="AD60" s="119">
        <f t="shared" si="4"/>
        <v>0</v>
      </c>
      <c r="AE60" s="119">
        <f>AC60</f>
        <v>13</v>
      </c>
      <c r="AF60" s="135">
        <v>13</v>
      </c>
      <c r="AG60" s="135">
        <v>13</v>
      </c>
      <c r="AH60" s="135">
        <v>13</v>
      </c>
      <c r="AI60" s="143">
        <f>AH60</f>
        <v>13</v>
      </c>
      <c r="AJ60" s="119">
        <f t="shared" si="5"/>
        <v>30</v>
      </c>
      <c r="AK60" s="119">
        <f>AI60</f>
        <v>13</v>
      </c>
      <c r="AL60" s="119">
        <f>AK60</f>
        <v>13</v>
      </c>
      <c r="AM60" s="135">
        <f t="shared" si="7"/>
        <v>13</v>
      </c>
      <c r="AN60" s="135"/>
      <c r="AO60" s="135"/>
      <c r="AP60" s="143">
        <f>AO60</f>
        <v>0</v>
      </c>
      <c r="AQ60" s="119">
        <f t="shared" si="8"/>
        <v>30</v>
      </c>
      <c r="AR60" s="119">
        <f>AP60</f>
        <v>0</v>
      </c>
      <c r="AS60" s="119">
        <f>AR60</f>
        <v>0</v>
      </c>
      <c r="AT60" s="135"/>
      <c r="AU60" s="135"/>
      <c r="AV60" s="135"/>
      <c r="AW60" s="143">
        <f>AV60</f>
        <v>0</v>
      </c>
      <c r="AX60" s="119">
        <f t="shared" si="10"/>
        <v>60</v>
      </c>
      <c r="AY60" s="119">
        <f>AW60</f>
        <v>0</v>
      </c>
      <c r="AZ60" s="119">
        <f>AY60</f>
        <v>0</v>
      </c>
      <c r="BA60" s="124"/>
    </row>
    <row r="61" spans="1:53" s="2" customFormat="1" ht="47.25" customHeight="1" x14ac:dyDescent="0.2">
      <c r="A61" s="151"/>
      <c r="B61" s="152"/>
      <c r="C61" s="245"/>
      <c r="D61" s="264"/>
      <c r="E61" s="64">
        <v>54</v>
      </c>
      <c r="F61" s="60" t="s">
        <v>166</v>
      </c>
      <c r="G61" s="64" t="s">
        <v>59</v>
      </c>
      <c r="H61" s="64" t="s">
        <v>60</v>
      </c>
      <c r="I61" s="135">
        <v>100</v>
      </c>
      <c r="J61" s="135">
        <v>25</v>
      </c>
      <c r="K61" s="135">
        <v>25</v>
      </c>
      <c r="L61" s="135">
        <v>25</v>
      </c>
      <c r="M61" s="135">
        <v>25</v>
      </c>
      <c r="N61" s="64" t="s">
        <v>66</v>
      </c>
      <c r="O61" s="64"/>
      <c r="P61" s="64" t="s">
        <v>409</v>
      </c>
      <c r="Q61" s="8">
        <v>100</v>
      </c>
      <c r="R61" s="60" t="s">
        <v>321</v>
      </c>
      <c r="S61" s="64" t="s">
        <v>62</v>
      </c>
      <c r="T61" s="64" t="s">
        <v>62</v>
      </c>
      <c r="U61" s="64" t="s">
        <v>62</v>
      </c>
      <c r="V61" s="11" t="s">
        <v>320</v>
      </c>
      <c r="W61" s="141"/>
      <c r="X61" s="141"/>
      <c r="Y61" s="141"/>
      <c r="Z61" s="135">
        <v>100</v>
      </c>
      <c r="AA61" s="135">
        <v>100</v>
      </c>
      <c r="AB61" s="135">
        <v>100</v>
      </c>
      <c r="AC61" s="118">
        <f t="shared" ref="AC61:AC62" si="158">AVERAGE(Z61:AB61)</f>
        <v>100</v>
      </c>
      <c r="AD61" s="119">
        <f t="shared" si="4"/>
        <v>25</v>
      </c>
      <c r="AE61" s="119">
        <f t="shared" ref="AE61:AE62" si="159">(J61*AC61)/I61</f>
        <v>25</v>
      </c>
      <c r="AF61" s="135">
        <v>100</v>
      </c>
      <c r="AG61" s="135">
        <v>100</v>
      </c>
      <c r="AH61" s="135">
        <v>100</v>
      </c>
      <c r="AI61" s="118">
        <f t="shared" ref="AI61:AI62" si="160">AVERAGE(AF61:AH61)</f>
        <v>100</v>
      </c>
      <c r="AJ61" s="119">
        <f t="shared" si="5"/>
        <v>50</v>
      </c>
      <c r="AK61" s="119">
        <f t="shared" ref="AK61:AK62" si="161">(K61*AI61)/I61</f>
        <v>25</v>
      </c>
      <c r="AL61" s="119">
        <f t="shared" si="6"/>
        <v>50</v>
      </c>
      <c r="AM61" s="135">
        <f t="shared" si="7"/>
        <v>100</v>
      </c>
      <c r="AN61" s="135"/>
      <c r="AO61" s="135"/>
      <c r="AP61" s="118">
        <f t="shared" ref="AP61:AP62" si="162">AVERAGE(AM61:AO61)</f>
        <v>100</v>
      </c>
      <c r="AQ61" s="119">
        <f t="shared" si="8"/>
        <v>75</v>
      </c>
      <c r="AR61" s="119">
        <f t="shared" ref="AR61:AR62" si="163">(L61*AP61)/I61</f>
        <v>25</v>
      </c>
      <c r="AS61" s="119">
        <f t="shared" si="9"/>
        <v>75</v>
      </c>
      <c r="AT61" s="135"/>
      <c r="AU61" s="135"/>
      <c r="AV61" s="135"/>
      <c r="AW61" s="118" t="e">
        <f t="shared" ref="AW61:AW62" si="164">AVERAGE(AT61:AV61)</f>
        <v>#DIV/0!</v>
      </c>
      <c r="AX61" s="119">
        <f t="shared" si="10"/>
        <v>100</v>
      </c>
      <c r="AY61" s="119" t="e">
        <f t="shared" ref="AY61:AY62" si="165">(M61*AW61)/I61</f>
        <v>#DIV/0!</v>
      </c>
      <c r="AZ61" s="119" t="e">
        <f t="shared" si="11"/>
        <v>#DIV/0!</v>
      </c>
      <c r="BA61" s="141"/>
    </row>
    <row r="62" spans="1:53" s="2" customFormat="1" ht="57" customHeight="1" x14ac:dyDescent="0.2">
      <c r="A62" s="151"/>
      <c r="B62" s="152"/>
      <c r="C62" s="245"/>
      <c r="D62" s="264"/>
      <c r="E62" s="64">
        <v>55</v>
      </c>
      <c r="F62" s="60" t="s">
        <v>167</v>
      </c>
      <c r="G62" s="64" t="s">
        <v>59</v>
      </c>
      <c r="H62" s="64" t="s">
        <v>60</v>
      </c>
      <c r="I62" s="135">
        <v>100</v>
      </c>
      <c r="J62" s="135">
        <v>25</v>
      </c>
      <c r="K62" s="135">
        <v>25</v>
      </c>
      <c r="L62" s="135">
        <v>25</v>
      </c>
      <c r="M62" s="135">
        <v>25</v>
      </c>
      <c r="N62" s="64" t="s">
        <v>66</v>
      </c>
      <c r="O62" s="64"/>
      <c r="P62" s="64" t="s">
        <v>409</v>
      </c>
      <c r="Q62" s="8">
        <v>100</v>
      </c>
      <c r="R62" s="60" t="s">
        <v>461</v>
      </c>
      <c r="S62" s="64" t="s">
        <v>62</v>
      </c>
      <c r="T62" s="64" t="s">
        <v>62</v>
      </c>
      <c r="U62" s="64" t="s">
        <v>62</v>
      </c>
      <c r="V62" s="11" t="s">
        <v>320</v>
      </c>
      <c r="W62" s="141"/>
      <c r="X62" s="141"/>
      <c r="Y62" s="141"/>
      <c r="Z62" s="135">
        <v>100</v>
      </c>
      <c r="AA62" s="135">
        <v>100</v>
      </c>
      <c r="AB62" s="135">
        <v>100</v>
      </c>
      <c r="AC62" s="118">
        <f t="shared" si="158"/>
        <v>100</v>
      </c>
      <c r="AD62" s="119">
        <f t="shared" si="4"/>
        <v>25</v>
      </c>
      <c r="AE62" s="119">
        <f t="shared" si="159"/>
        <v>25</v>
      </c>
      <c r="AF62" s="135">
        <v>100</v>
      </c>
      <c r="AG62" s="135">
        <v>100</v>
      </c>
      <c r="AH62" s="135">
        <v>100</v>
      </c>
      <c r="AI62" s="118">
        <f t="shared" si="160"/>
        <v>100</v>
      </c>
      <c r="AJ62" s="119">
        <f t="shared" si="5"/>
        <v>50</v>
      </c>
      <c r="AK62" s="119">
        <f t="shared" si="161"/>
        <v>25</v>
      </c>
      <c r="AL62" s="119">
        <f t="shared" si="6"/>
        <v>50</v>
      </c>
      <c r="AM62" s="135">
        <f t="shared" si="7"/>
        <v>100</v>
      </c>
      <c r="AN62" s="135"/>
      <c r="AO62" s="135"/>
      <c r="AP62" s="118">
        <f t="shared" si="162"/>
        <v>100</v>
      </c>
      <c r="AQ62" s="119">
        <f t="shared" si="8"/>
        <v>75</v>
      </c>
      <c r="AR62" s="119">
        <f t="shared" si="163"/>
        <v>25</v>
      </c>
      <c r="AS62" s="119">
        <f t="shared" si="9"/>
        <v>75</v>
      </c>
      <c r="AT62" s="135"/>
      <c r="AU62" s="135"/>
      <c r="AV62" s="135"/>
      <c r="AW62" s="118" t="e">
        <f t="shared" si="164"/>
        <v>#DIV/0!</v>
      </c>
      <c r="AX62" s="119">
        <f t="shared" si="10"/>
        <v>100</v>
      </c>
      <c r="AY62" s="119" t="e">
        <f t="shared" si="165"/>
        <v>#DIV/0!</v>
      </c>
      <c r="AZ62" s="119" t="e">
        <f t="shared" si="11"/>
        <v>#DIV/0!</v>
      </c>
      <c r="BA62" s="141"/>
    </row>
    <row r="63" spans="1:53" s="2" customFormat="1" ht="37.5" customHeight="1" x14ac:dyDescent="0.2">
      <c r="A63" s="151"/>
      <c r="B63" s="152"/>
      <c r="C63" s="245"/>
      <c r="D63" s="264"/>
      <c r="E63" s="64">
        <v>56</v>
      </c>
      <c r="F63" s="60" t="s">
        <v>168</v>
      </c>
      <c r="G63" s="64" t="s">
        <v>65</v>
      </c>
      <c r="H63" s="64" t="s">
        <v>60</v>
      </c>
      <c r="I63" s="135">
        <v>100</v>
      </c>
      <c r="J63" s="135">
        <v>25</v>
      </c>
      <c r="K63" s="135">
        <v>25</v>
      </c>
      <c r="L63" s="135">
        <v>25</v>
      </c>
      <c r="M63" s="135">
        <v>25</v>
      </c>
      <c r="N63" s="64" t="s">
        <v>66</v>
      </c>
      <c r="O63" s="64"/>
      <c r="P63" s="64" t="s">
        <v>409</v>
      </c>
      <c r="Q63" s="8">
        <v>100</v>
      </c>
      <c r="R63" s="60" t="s">
        <v>447</v>
      </c>
      <c r="S63" s="64" t="s">
        <v>62</v>
      </c>
      <c r="T63" s="64" t="s">
        <v>62</v>
      </c>
      <c r="U63" s="64" t="s">
        <v>62</v>
      </c>
      <c r="V63" s="11" t="s">
        <v>320</v>
      </c>
      <c r="W63" s="141"/>
      <c r="X63" s="141"/>
      <c r="Y63" s="141"/>
      <c r="Z63" s="135">
        <v>100</v>
      </c>
      <c r="AA63" s="135">
        <v>100</v>
      </c>
      <c r="AB63" s="135">
        <v>100</v>
      </c>
      <c r="AC63" s="118">
        <f>AVERAGE(Z63:AB63)</f>
        <v>100</v>
      </c>
      <c r="AD63" s="119">
        <f t="shared" si="4"/>
        <v>25</v>
      </c>
      <c r="AE63" s="119">
        <f>(J63*AC63)/I63</f>
        <v>25</v>
      </c>
      <c r="AF63" s="135">
        <v>100</v>
      </c>
      <c r="AG63" s="135">
        <v>100</v>
      </c>
      <c r="AH63" s="135">
        <v>100</v>
      </c>
      <c r="AI63" s="118">
        <f>AVERAGE(AF63:AH63)</f>
        <v>100</v>
      </c>
      <c r="AJ63" s="119">
        <f t="shared" si="5"/>
        <v>50</v>
      </c>
      <c r="AK63" s="119">
        <f>(K63*AI63)/I63</f>
        <v>25</v>
      </c>
      <c r="AL63" s="119">
        <f t="shared" si="6"/>
        <v>50</v>
      </c>
      <c r="AM63" s="135">
        <f t="shared" si="7"/>
        <v>100</v>
      </c>
      <c r="AN63" s="135"/>
      <c r="AO63" s="135"/>
      <c r="AP63" s="118">
        <f>AVERAGE(AM63:AO63)</f>
        <v>100</v>
      </c>
      <c r="AQ63" s="119">
        <f t="shared" si="8"/>
        <v>75</v>
      </c>
      <c r="AR63" s="119">
        <f>(L63*AP63)/I63</f>
        <v>25</v>
      </c>
      <c r="AS63" s="119">
        <f t="shared" si="9"/>
        <v>75</v>
      </c>
      <c r="AT63" s="135"/>
      <c r="AU63" s="135"/>
      <c r="AV63" s="135"/>
      <c r="AW63" s="118" t="e">
        <f>AVERAGE(AT63:AV63)</f>
        <v>#DIV/0!</v>
      </c>
      <c r="AX63" s="119">
        <f t="shared" si="10"/>
        <v>100</v>
      </c>
      <c r="AY63" s="119" t="e">
        <f>(M63*AW63)/I63</f>
        <v>#DIV/0!</v>
      </c>
      <c r="AZ63" s="119" t="e">
        <f t="shared" si="11"/>
        <v>#DIV/0!</v>
      </c>
      <c r="BA63" s="141"/>
    </row>
    <row r="64" spans="1:53" s="2" customFormat="1" ht="46.5" customHeight="1" x14ac:dyDescent="0.2">
      <c r="A64" s="151"/>
      <c r="B64" s="152"/>
      <c r="C64" s="246"/>
      <c r="D64" s="265"/>
      <c r="E64" s="64">
        <v>57</v>
      </c>
      <c r="F64" s="60" t="s">
        <v>169</v>
      </c>
      <c r="G64" s="64" t="s">
        <v>59</v>
      </c>
      <c r="H64" s="64" t="s">
        <v>60</v>
      </c>
      <c r="I64" s="135">
        <v>100</v>
      </c>
      <c r="J64" s="135">
        <v>25</v>
      </c>
      <c r="K64" s="135">
        <v>25</v>
      </c>
      <c r="L64" s="135">
        <v>25</v>
      </c>
      <c r="M64" s="135">
        <v>25</v>
      </c>
      <c r="N64" s="64"/>
      <c r="O64" s="64" t="s">
        <v>66</v>
      </c>
      <c r="P64" s="64" t="s">
        <v>409</v>
      </c>
      <c r="Q64" s="8">
        <v>100</v>
      </c>
      <c r="R64" s="60" t="s">
        <v>322</v>
      </c>
      <c r="S64" s="64" t="s">
        <v>62</v>
      </c>
      <c r="T64" s="64" t="s">
        <v>62</v>
      </c>
      <c r="U64" s="64" t="s">
        <v>62</v>
      </c>
      <c r="V64" s="11" t="s">
        <v>320</v>
      </c>
      <c r="W64" s="141"/>
      <c r="X64" s="141"/>
      <c r="Y64" s="141"/>
      <c r="Z64" s="135">
        <v>100</v>
      </c>
      <c r="AA64" s="135">
        <v>100</v>
      </c>
      <c r="AB64" s="135">
        <v>100</v>
      </c>
      <c r="AC64" s="118">
        <f t="shared" ref="AC64:AC70" si="166">AVERAGE(Z64:AB64)</f>
        <v>100</v>
      </c>
      <c r="AD64" s="119">
        <f t="shared" si="4"/>
        <v>25</v>
      </c>
      <c r="AE64" s="119">
        <f t="shared" ref="AE64:AE87" si="167">(J64*AC64)/I64</f>
        <v>25</v>
      </c>
      <c r="AF64" s="135">
        <v>100</v>
      </c>
      <c r="AG64" s="135">
        <v>100</v>
      </c>
      <c r="AH64" s="135">
        <v>100</v>
      </c>
      <c r="AI64" s="118">
        <f t="shared" ref="AI64:AI70" si="168">AVERAGE(AF64:AH64)</f>
        <v>100</v>
      </c>
      <c r="AJ64" s="119">
        <f t="shared" si="5"/>
        <v>50</v>
      </c>
      <c r="AK64" s="119">
        <f t="shared" ref="AK64:AK87" si="169">(K64*AI64)/I64</f>
        <v>25</v>
      </c>
      <c r="AL64" s="119">
        <f t="shared" si="6"/>
        <v>50</v>
      </c>
      <c r="AM64" s="135">
        <f t="shared" si="7"/>
        <v>100</v>
      </c>
      <c r="AN64" s="135"/>
      <c r="AO64" s="135"/>
      <c r="AP64" s="118">
        <f t="shared" ref="AP64:AP70" si="170">AVERAGE(AM64:AO64)</f>
        <v>100</v>
      </c>
      <c r="AQ64" s="119">
        <f t="shared" si="8"/>
        <v>75</v>
      </c>
      <c r="AR64" s="119">
        <f t="shared" ref="AR64:AR87" si="171">(L64*AP64)/I64</f>
        <v>25</v>
      </c>
      <c r="AS64" s="119">
        <f t="shared" si="9"/>
        <v>75</v>
      </c>
      <c r="AT64" s="135"/>
      <c r="AU64" s="135"/>
      <c r="AV64" s="135"/>
      <c r="AW64" s="118" t="e">
        <f t="shared" ref="AW64:AW70" si="172">AVERAGE(AT64:AV64)</f>
        <v>#DIV/0!</v>
      </c>
      <c r="AX64" s="119">
        <f t="shared" si="10"/>
        <v>100</v>
      </c>
      <c r="AY64" s="119" t="e">
        <f t="shared" ref="AY64:AY87" si="173">(M64*AW64)/I64</f>
        <v>#DIV/0!</v>
      </c>
      <c r="AZ64" s="119" t="e">
        <f t="shared" si="11"/>
        <v>#DIV/0!</v>
      </c>
      <c r="BA64" s="141"/>
    </row>
    <row r="65" spans="1:53" s="2" customFormat="1" ht="44.25" customHeight="1" x14ac:dyDescent="0.2">
      <c r="A65" s="151"/>
      <c r="B65" s="152"/>
      <c r="C65" s="244" t="s">
        <v>56</v>
      </c>
      <c r="D65" s="247" t="s">
        <v>57</v>
      </c>
      <c r="E65" s="64">
        <v>58</v>
      </c>
      <c r="F65" s="61" t="s">
        <v>170</v>
      </c>
      <c r="G65" s="164" t="s">
        <v>59</v>
      </c>
      <c r="H65" s="164" t="s">
        <v>60</v>
      </c>
      <c r="I65" s="138">
        <v>100</v>
      </c>
      <c r="J65" s="135">
        <v>25</v>
      </c>
      <c r="K65" s="135">
        <v>25</v>
      </c>
      <c r="L65" s="135">
        <v>25</v>
      </c>
      <c r="M65" s="135">
        <v>25</v>
      </c>
      <c r="N65" s="164" t="s">
        <v>66</v>
      </c>
      <c r="O65" s="164"/>
      <c r="P65" s="64" t="s">
        <v>410</v>
      </c>
      <c r="Q65" s="123">
        <v>99</v>
      </c>
      <c r="R65" s="78" t="s">
        <v>462</v>
      </c>
      <c r="S65" s="225" t="s">
        <v>463</v>
      </c>
      <c r="T65" s="64" t="s">
        <v>62</v>
      </c>
      <c r="U65" s="64" t="s">
        <v>62</v>
      </c>
      <c r="V65" s="11" t="s">
        <v>323</v>
      </c>
      <c r="W65" s="133"/>
      <c r="X65" s="141"/>
      <c r="Y65" s="141"/>
      <c r="Z65" s="135">
        <v>100</v>
      </c>
      <c r="AA65" s="135">
        <v>100</v>
      </c>
      <c r="AB65" s="135">
        <v>100</v>
      </c>
      <c r="AC65" s="118">
        <f t="shared" si="166"/>
        <v>100</v>
      </c>
      <c r="AD65" s="119">
        <f t="shared" si="4"/>
        <v>25</v>
      </c>
      <c r="AE65" s="119">
        <f t="shared" si="167"/>
        <v>25</v>
      </c>
      <c r="AF65" s="135">
        <v>99</v>
      </c>
      <c r="AG65" s="135">
        <v>100</v>
      </c>
      <c r="AH65" s="135">
        <v>100</v>
      </c>
      <c r="AI65" s="118">
        <f t="shared" si="168"/>
        <v>99.666666666666671</v>
      </c>
      <c r="AJ65" s="119">
        <f t="shared" si="5"/>
        <v>50</v>
      </c>
      <c r="AK65" s="119">
        <f t="shared" si="169"/>
        <v>24.916666666666671</v>
      </c>
      <c r="AL65" s="119">
        <f t="shared" si="6"/>
        <v>49.916666666666671</v>
      </c>
      <c r="AM65" s="135">
        <f t="shared" si="7"/>
        <v>99</v>
      </c>
      <c r="AN65" s="135"/>
      <c r="AO65" s="135"/>
      <c r="AP65" s="118">
        <f t="shared" si="170"/>
        <v>99</v>
      </c>
      <c r="AQ65" s="119">
        <f t="shared" si="8"/>
        <v>75</v>
      </c>
      <c r="AR65" s="119">
        <f t="shared" si="171"/>
        <v>24.75</v>
      </c>
      <c r="AS65" s="119">
        <f t="shared" si="9"/>
        <v>74.666666666666671</v>
      </c>
      <c r="AT65" s="135"/>
      <c r="AU65" s="135"/>
      <c r="AV65" s="135"/>
      <c r="AW65" s="118" t="e">
        <f t="shared" si="172"/>
        <v>#DIV/0!</v>
      </c>
      <c r="AX65" s="119">
        <f t="shared" si="10"/>
        <v>100</v>
      </c>
      <c r="AY65" s="119" t="e">
        <f t="shared" si="173"/>
        <v>#DIV/0!</v>
      </c>
      <c r="AZ65" s="119" t="e">
        <f t="shared" si="11"/>
        <v>#DIV/0!</v>
      </c>
      <c r="BA65" s="141"/>
    </row>
    <row r="66" spans="1:53" s="2" customFormat="1" ht="54" customHeight="1" x14ac:dyDescent="0.2">
      <c r="A66" s="151"/>
      <c r="B66" s="152"/>
      <c r="C66" s="245"/>
      <c r="D66" s="248"/>
      <c r="E66" s="64">
        <v>59</v>
      </c>
      <c r="F66" s="60" t="s">
        <v>171</v>
      </c>
      <c r="G66" s="64" t="s">
        <v>59</v>
      </c>
      <c r="H66" s="64" t="s">
        <v>60</v>
      </c>
      <c r="I66" s="138">
        <v>100</v>
      </c>
      <c r="J66" s="135">
        <v>25</v>
      </c>
      <c r="K66" s="135">
        <v>25</v>
      </c>
      <c r="L66" s="135">
        <v>25</v>
      </c>
      <c r="M66" s="135">
        <v>25</v>
      </c>
      <c r="N66" s="164" t="s">
        <v>66</v>
      </c>
      <c r="O66" s="164"/>
      <c r="P66" s="64" t="s">
        <v>409</v>
      </c>
      <c r="Q66" s="8">
        <v>100</v>
      </c>
      <c r="R66" s="78" t="s">
        <v>427</v>
      </c>
      <c r="S66" s="225" t="s">
        <v>324</v>
      </c>
      <c r="T66" s="225" t="s">
        <v>325</v>
      </c>
      <c r="U66" s="64" t="s">
        <v>62</v>
      </c>
      <c r="V66" s="11" t="s">
        <v>326</v>
      </c>
      <c r="W66" s="122" t="s">
        <v>471</v>
      </c>
      <c r="X66" s="121"/>
      <c r="Y66" s="141"/>
      <c r="Z66" s="135">
        <v>99</v>
      </c>
      <c r="AA66" s="135">
        <v>95</v>
      </c>
      <c r="AB66" s="135">
        <v>99</v>
      </c>
      <c r="AC66" s="118">
        <f t="shared" si="166"/>
        <v>97.666666666666671</v>
      </c>
      <c r="AD66" s="119">
        <f t="shared" si="4"/>
        <v>25</v>
      </c>
      <c r="AE66" s="119">
        <f t="shared" si="167"/>
        <v>24.416666666666671</v>
      </c>
      <c r="AF66" s="135">
        <v>100</v>
      </c>
      <c r="AG66" s="135">
        <v>100</v>
      </c>
      <c r="AH66" s="135">
        <v>100</v>
      </c>
      <c r="AI66" s="118">
        <f t="shared" si="168"/>
        <v>100</v>
      </c>
      <c r="AJ66" s="119">
        <f t="shared" si="5"/>
        <v>50</v>
      </c>
      <c r="AK66" s="119">
        <f t="shared" si="169"/>
        <v>25</v>
      </c>
      <c r="AL66" s="119">
        <f t="shared" si="6"/>
        <v>49.416666666666671</v>
      </c>
      <c r="AM66" s="135">
        <f t="shared" si="7"/>
        <v>100</v>
      </c>
      <c r="AN66" s="135"/>
      <c r="AO66" s="135"/>
      <c r="AP66" s="118">
        <f t="shared" si="170"/>
        <v>100</v>
      </c>
      <c r="AQ66" s="119">
        <f t="shared" si="8"/>
        <v>75</v>
      </c>
      <c r="AR66" s="119">
        <f t="shared" si="171"/>
        <v>25</v>
      </c>
      <c r="AS66" s="119">
        <f t="shared" si="9"/>
        <v>74.416666666666671</v>
      </c>
      <c r="AT66" s="135"/>
      <c r="AU66" s="135"/>
      <c r="AV66" s="135"/>
      <c r="AW66" s="118" t="e">
        <f t="shared" si="172"/>
        <v>#DIV/0!</v>
      </c>
      <c r="AX66" s="119">
        <f t="shared" si="10"/>
        <v>100</v>
      </c>
      <c r="AY66" s="119" t="e">
        <f t="shared" si="173"/>
        <v>#DIV/0!</v>
      </c>
      <c r="AZ66" s="119" t="e">
        <f t="shared" si="11"/>
        <v>#DIV/0!</v>
      </c>
      <c r="BA66" s="141"/>
    </row>
    <row r="67" spans="1:53" s="2" customFormat="1" ht="54" customHeight="1" x14ac:dyDescent="0.2">
      <c r="A67" s="151"/>
      <c r="B67" s="152"/>
      <c r="C67" s="245"/>
      <c r="D67" s="249"/>
      <c r="E67" s="64">
        <v>60</v>
      </c>
      <c r="F67" s="61" t="s">
        <v>172</v>
      </c>
      <c r="G67" s="64" t="s">
        <v>173</v>
      </c>
      <c r="H67" s="191" t="s">
        <v>60</v>
      </c>
      <c r="I67" s="135">
        <v>85</v>
      </c>
      <c r="J67" s="135">
        <v>20</v>
      </c>
      <c r="K67" s="135">
        <v>20</v>
      </c>
      <c r="L67" s="135">
        <v>20</v>
      </c>
      <c r="M67" s="135">
        <v>25</v>
      </c>
      <c r="N67" s="164"/>
      <c r="O67" s="164" t="s">
        <v>66</v>
      </c>
      <c r="P67" s="64" t="s">
        <v>409</v>
      </c>
      <c r="Q67" s="123">
        <v>92</v>
      </c>
      <c r="R67" s="78" t="s">
        <v>435</v>
      </c>
      <c r="S67" s="127" t="s">
        <v>62</v>
      </c>
      <c r="T67" s="64" t="s">
        <v>62</v>
      </c>
      <c r="U67" s="127" t="s">
        <v>62</v>
      </c>
      <c r="V67" s="11" t="s">
        <v>327</v>
      </c>
      <c r="W67" s="141"/>
      <c r="X67" s="141"/>
      <c r="Y67" s="141"/>
      <c r="Z67" s="135">
        <v>90</v>
      </c>
      <c r="AA67" s="135">
        <v>91</v>
      </c>
      <c r="AB67" s="135">
        <v>91</v>
      </c>
      <c r="AC67" s="118">
        <f t="shared" si="166"/>
        <v>90.666666666666671</v>
      </c>
      <c r="AD67" s="119">
        <f t="shared" si="4"/>
        <v>20</v>
      </c>
      <c r="AE67" s="119">
        <f t="shared" si="167"/>
        <v>21.333333333333336</v>
      </c>
      <c r="AF67" s="135">
        <v>91</v>
      </c>
      <c r="AG67" s="135">
        <v>92</v>
      </c>
      <c r="AH67" s="135">
        <v>92</v>
      </c>
      <c r="AI67" s="118">
        <f t="shared" si="168"/>
        <v>91.666666666666671</v>
      </c>
      <c r="AJ67" s="119">
        <f t="shared" si="5"/>
        <v>40</v>
      </c>
      <c r="AK67" s="119">
        <f t="shared" si="169"/>
        <v>21.568627450980394</v>
      </c>
      <c r="AL67" s="119">
        <f t="shared" si="6"/>
        <v>42.901960784313729</v>
      </c>
      <c r="AM67" s="135">
        <f t="shared" si="7"/>
        <v>92</v>
      </c>
      <c r="AN67" s="135"/>
      <c r="AO67" s="135"/>
      <c r="AP67" s="118">
        <f t="shared" si="170"/>
        <v>92</v>
      </c>
      <c r="AQ67" s="119">
        <f t="shared" si="8"/>
        <v>60</v>
      </c>
      <c r="AR67" s="119">
        <f t="shared" si="171"/>
        <v>21.647058823529413</v>
      </c>
      <c r="AS67" s="119">
        <f t="shared" si="9"/>
        <v>64.54901960784315</v>
      </c>
      <c r="AT67" s="135"/>
      <c r="AU67" s="135"/>
      <c r="AV67" s="135"/>
      <c r="AW67" s="118" t="e">
        <f t="shared" si="172"/>
        <v>#DIV/0!</v>
      </c>
      <c r="AX67" s="119">
        <f t="shared" si="10"/>
        <v>85</v>
      </c>
      <c r="AY67" s="119" t="e">
        <f t="shared" si="173"/>
        <v>#DIV/0!</v>
      </c>
      <c r="AZ67" s="119" t="e">
        <f t="shared" si="11"/>
        <v>#DIV/0!</v>
      </c>
      <c r="BA67" s="141"/>
    </row>
    <row r="68" spans="1:53" s="2" customFormat="1" ht="43.5" customHeight="1" x14ac:dyDescent="0.2">
      <c r="A68" s="151"/>
      <c r="B68" s="152"/>
      <c r="C68" s="245"/>
      <c r="D68" s="247" t="s">
        <v>174</v>
      </c>
      <c r="E68" s="64">
        <v>61</v>
      </c>
      <c r="F68" s="61" t="s">
        <v>175</v>
      </c>
      <c r="G68" s="164" t="s">
        <v>59</v>
      </c>
      <c r="H68" s="164" t="s">
        <v>60</v>
      </c>
      <c r="I68" s="138">
        <v>95</v>
      </c>
      <c r="J68" s="135">
        <v>24</v>
      </c>
      <c r="K68" s="135">
        <v>24</v>
      </c>
      <c r="L68" s="135">
        <v>24</v>
      </c>
      <c r="M68" s="135">
        <v>23</v>
      </c>
      <c r="N68" s="164"/>
      <c r="O68" s="164" t="s">
        <v>66</v>
      </c>
      <c r="P68" s="64" t="s">
        <v>409</v>
      </c>
      <c r="Q68" s="123">
        <v>100</v>
      </c>
      <c r="R68" s="78" t="s">
        <v>328</v>
      </c>
      <c r="S68" s="64" t="s">
        <v>62</v>
      </c>
      <c r="T68" s="64" t="s">
        <v>62</v>
      </c>
      <c r="U68" s="64" t="s">
        <v>62</v>
      </c>
      <c r="V68" s="130" t="s">
        <v>329</v>
      </c>
      <c r="W68" s="113"/>
      <c r="X68" s="121"/>
      <c r="Y68" s="141"/>
      <c r="Z68" s="135">
        <v>100</v>
      </c>
      <c r="AA68" s="135">
        <v>100</v>
      </c>
      <c r="AB68" s="135">
        <v>100</v>
      </c>
      <c r="AC68" s="118">
        <f t="shared" si="166"/>
        <v>100</v>
      </c>
      <c r="AD68" s="119">
        <f t="shared" si="4"/>
        <v>24</v>
      </c>
      <c r="AE68" s="119">
        <f t="shared" si="167"/>
        <v>25.263157894736842</v>
      </c>
      <c r="AF68" s="135">
        <v>100</v>
      </c>
      <c r="AG68" s="135">
        <v>100</v>
      </c>
      <c r="AH68" s="135">
        <v>100</v>
      </c>
      <c r="AI68" s="118">
        <f t="shared" si="168"/>
        <v>100</v>
      </c>
      <c r="AJ68" s="119">
        <f t="shared" si="5"/>
        <v>48</v>
      </c>
      <c r="AK68" s="119">
        <f t="shared" si="169"/>
        <v>25.263157894736842</v>
      </c>
      <c r="AL68" s="119">
        <f t="shared" si="6"/>
        <v>50.526315789473685</v>
      </c>
      <c r="AM68" s="135">
        <f t="shared" si="7"/>
        <v>100</v>
      </c>
      <c r="AN68" s="135"/>
      <c r="AO68" s="135"/>
      <c r="AP68" s="118">
        <f t="shared" si="170"/>
        <v>100</v>
      </c>
      <c r="AQ68" s="119">
        <f t="shared" si="8"/>
        <v>72</v>
      </c>
      <c r="AR68" s="119">
        <f t="shared" si="171"/>
        <v>25.263157894736842</v>
      </c>
      <c r="AS68" s="119">
        <f t="shared" si="9"/>
        <v>75.78947368421052</v>
      </c>
      <c r="AT68" s="135"/>
      <c r="AU68" s="135"/>
      <c r="AV68" s="135"/>
      <c r="AW68" s="118" t="e">
        <f t="shared" si="172"/>
        <v>#DIV/0!</v>
      </c>
      <c r="AX68" s="119">
        <f t="shared" si="10"/>
        <v>95</v>
      </c>
      <c r="AY68" s="119" t="e">
        <f t="shared" si="173"/>
        <v>#DIV/0!</v>
      </c>
      <c r="AZ68" s="119" t="e">
        <f t="shared" si="11"/>
        <v>#DIV/0!</v>
      </c>
      <c r="BA68" s="141"/>
    </row>
    <row r="69" spans="1:53" s="2" customFormat="1" ht="48.75" customHeight="1" x14ac:dyDescent="0.2">
      <c r="A69" s="151"/>
      <c r="B69" s="152"/>
      <c r="C69" s="246"/>
      <c r="D69" s="249"/>
      <c r="E69" s="64">
        <v>62</v>
      </c>
      <c r="F69" s="61" t="s">
        <v>176</v>
      </c>
      <c r="G69" s="164" t="s">
        <v>59</v>
      </c>
      <c r="H69" s="164" t="s">
        <v>60</v>
      </c>
      <c r="I69" s="138">
        <v>95</v>
      </c>
      <c r="J69" s="135">
        <v>24</v>
      </c>
      <c r="K69" s="135">
        <v>24</v>
      </c>
      <c r="L69" s="135">
        <v>24</v>
      </c>
      <c r="M69" s="135">
        <v>23</v>
      </c>
      <c r="N69" s="164"/>
      <c r="O69" s="164" t="s">
        <v>66</v>
      </c>
      <c r="P69" s="64" t="s">
        <v>409</v>
      </c>
      <c r="Q69" s="123">
        <v>98</v>
      </c>
      <c r="R69" s="78" t="s">
        <v>452</v>
      </c>
      <c r="S69" s="64" t="s">
        <v>62</v>
      </c>
      <c r="T69" s="64" t="s">
        <v>62</v>
      </c>
      <c r="U69" s="64" t="s">
        <v>62</v>
      </c>
      <c r="V69" s="130" t="s">
        <v>329</v>
      </c>
      <c r="W69" s="122"/>
      <c r="X69" s="121"/>
      <c r="Y69" s="141"/>
      <c r="Z69" s="135">
        <v>99</v>
      </c>
      <c r="AA69" s="135">
        <v>97</v>
      </c>
      <c r="AB69" s="135">
        <v>99</v>
      </c>
      <c r="AC69" s="118">
        <f t="shared" si="166"/>
        <v>98.333333333333329</v>
      </c>
      <c r="AD69" s="119">
        <f t="shared" si="4"/>
        <v>24</v>
      </c>
      <c r="AE69" s="119">
        <f t="shared" si="167"/>
        <v>24.842105263157894</v>
      </c>
      <c r="AF69" s="135">
        <v>99</v>
      </c>
      <c r="AG69" s="135">
        <v>97</v>
      </c>
      <c r="AH69" s="135">
        <v>99</v>
      </c>
      <c r="AI69" s="118">
        <f t="shared" si="168"/>
        <v>98.333333333333329</v>
      </c>
      <c r="AJ69" s="119">
        <f t="shared" si="5"/>
        <v>48</v>
      </c>
      <c r="AK69" s="119">
        <f t="shared" si="169"/>
        <v>24.842105263157894</v>
      </c>
      <c r="AL69" s="119">
        <f t="shared" si="6"/>
        <v>49.684210526315788</v>
      </c>
      <c r="AM69" s="135">
        <f t="shared" si="7"/>
        <v>98</v>
      </c>
      <c r="AN69" s="135"/>
      <c r="AO69" s="135"/>
      <c r="AP69" s="118">
        <f t="shared" si="170"/>
        <v>98</v>
      </c>
      <c r="AQ69" s="119">
        <f t="shared" si="8"/>
        <v>72</v>
      </c>
      <c r="AR69" s="119">
        <f t="shared" si="171"/>
        <v>24.757894736842104</v>
      </c>
      <c r="AS69" s="119">
        <f t="shared" si="9"/>
        <v>74.442105263157885</v>
      </c>
      <c r="AT69" s="135"/>
      <c r="AU69" s="135"/>
      <c r="AV69" s="135"/>
      <c r="AW69" s="118" t="e">
        <f t="shared" si="172"/>
        <v>#DIV/0!</v>
      </c>
      <c r="AX69" s="119">
        <f t="shared" si="10"/>
        <v>95</v>
      </c>
      <c r="AY69" s="119" t="e">
        <f t="shared" si="173"/>
        <v>#DIV/0!</v>
      </c>
      <c r="AZ69" s="119" t="e">
        <f t="shared" si="11"/>
        <v>#DIV/0!</v>
      </c>
      <c r="BA69" s="141"/>
    </row>
    <row r="70" spans="1:53" s="2" customFormat="1" ht="45" customHeight="1" x14ac:dyDescent="0.2">
      <c r="A70" s="151"/>
      <c r="B70" s="152"/>
      <c r="C70" s="244" t="s">
        <v>119</v>
      </c>
      <c r="D70" s="192" t="s">
        <v>177</v>
      </c>
      <c r="E70" s="64">
        <v>63</v>
      </c>
      <c r="F70" s="60" t="s">
        <v>178</v>
      </c>
      <c r="G70" s="64" t="s">
        <v>59</v>
      </c>
      <c r="H70" s="64" t="s">
        <v>60</v>
      </c>
      <c r="I70" s="135">
        <v>96</v>
      </c>
      <c r="J70" s="135">
        <v>24</v>
      </c>
      <c r="K70" s="135">
        <v>24</v>
      </c>
      <c r="L70" s="135">
        <v>24</v>
      </c>
      <c r="M70" s="135">
        <v>24</v>
      </c>
      <c r="N70" s="64"/>
      <c r="O70" s="64" t="s">
        <v>66</v>
      </c>
      <c r="P70" s="64" t="s">
        <v>409</v>
      </c>
      <c r="Q70" s="8">
        <v>100</v>
      </c>
      <c r="R70" s="60" t="s">
        <v>330</v>
      </c>
      <c r="S70" s="64" t="s">
        <v>62</v>
      </c>
      <c r="T70" s="64" t="s">
        <v>62</v>
      </c>
      <c r="U70" s="64" t="s">
        <v>62</v>
      </c>
      <c r="V70" s="11" t="s">
        <v>331</v>
      </c>
      <c r="W70" s="113"/>
      <c r="X70" s="121"/>
      <c r="Y70" s="141"/>
      <c r="Z70" s="135">
        <v>100</v>
      </c>
      <c r="AA70" s="135">
        <v>100</v>
      </c>
      <c r="AB70" s="135">
        <v>100</v>
      </c>
      <c r="AC70" s="118">
        <f t="shared" si="166"/>
        <v>100</v>
      </c>
      <c r="AD70" s="119">
        <f t="shared" si="4"/>
        <v>24</v>
      </c>
      <c r="AE70" s="119">
        <f t="shared" si="167"/>
        <v>25</v>
      </c>
      <c r="AF70" s="135">
        <v>100</v>
      </c>
      <c r="AG70" s="135">
        <v>100</v>
      </c>
      <c r="AH70" s="135">
        <v>100</v>
      </c>
      <c r="AI70" s="118">
        <f t="shared" si="168"/>
        <v>100</v>
      </c>
      <c r="AJ70" s="119">
        <f t="shared" si="5"/>
        <v>48</v>
      </c>
      <c r="AK70" s="119">
        <f t="shared" si="169"/>
        <v>25</v>
      </c>
      <c r="AL70" s="119">
        <f t="shared" si="6"/>
        <v>50</v>
      </c>
      <c r="AM70" s="135">
        <f t="shared" si="7"/>
        <v>100</v>
      </c>
      <c r="AN70" s="135"/>
      <c r="AO70" s="135"/>
      <c r="AP70" s="118">
        <f t="shared" si="170"/>
        <v>100</v>
      </c>
      <c r="AQ70" s="119">
        <f t="shared" si="8"/>
        <v>72</v>
      </c>
      <c r="AR70" s="119">
        <f t="shared" si="171"/>
        <v>25</v>
      </c>
      <c r="AS70" s="119">
        <f t="shared" si="9"/>
        <v>75</v>
      </c>
      <c r="AT70" s="135"/>
      <c r="AU70" s="135"/>
      <c r="AV70" s="135"/>
      <c r="AW70" s="118" t="e">
        <f t="shared" si="172"/>
        <v>#DIV/0!</v>
      </c>
      <c r="AX70" s="119">
        <f t="shared" si="10"/>
        <v>96</v>
      </c>
      <c r="AY70" s="119" t="e">
        <f t="shared" si="173"/>
        <v>#DIV/0!</v>
      </c>
      <c r="AZ70" s="119" t="e">
        <f t="shared" si="11"/>
        <v>#DIV/0!</v>
      </c>
      <c r="BA70" s="141"/>
    </row>
    <row r="71" spans="1:53" s="2" customFormat="1" ht="45" customHeight="1" x14ac:dyDescent="0.2">
      <c r="A71" s="151"/>
      <c r="B71" s="152"/>
      <c r="C71" s="245"/>
      <c r="D71" s="174" t="s">
        <v>128</v>
      </c>
      <c r="E71" s="64">
        <v>64</v>
      </c>
      <c r="F71" s="60" t="s">
        <v>179</v>
      </c>
      <c r="G71" s="10" t="s">
        <v>59</v>
      </c>
      <c r="H71" s="10" t="s">
        <v>60</v>
      </c>
      <c r="I71" s="193">
        <v>95</v>
      </c>
      <c r="J71" s="135">
        <v>23</v>
      </c>
      <c r="K71" s="135">
        <v>24</v>
      </c>
      <c r="L71" s="135">
        <v>24</v>
      </c>
      <c r="M71" s="135">
        <v>24</v>
      </c>
      <c r="N71" s="64"/>
      <c r="O71" s="64" t="s">
        <v>66</v>
      </c>
      <c r="P71" s="64" t="s">
        <v>409</v>
      </c>
      <c r="Q71" s="8">
        <v>100</v>
      </c>
      <c r="R71" s="12" t="s">
        <v>332</v>
      </c>
      <c r="S71" s="64" t="s">
        <v>62</v>
      </c>
      <c r="T71" s="64" t="s">
        <v>62</v>
      </c>
      <c r="U71" s="64" t="s">
        <v>62</v>
      </c>
      <c r="V71" s="11" t="s">
        <v>333</v>
      </c>
      <c r="W71" s="141"/>
      <c r="X71" s="141"/>
      <c r="Y71" s="141"/>
      <c r="Z71" s="135">
        <v>100</v>
      </c>
      <c r="AA71" s="135">
        <v>100</v>
      </c>
      <c r="AB71" s="135">
        <v>100</v>
      </c>
      <c r="AC71" s="8">
        <f>AVERAGE(Z71:AB71)</f>
        <v>100</v>
      </c>
      <c r="AD71" s="119">
        <f t="shared" si="4"/>
        <v>23</v>
      </c>
      <c r="AE71" s="119">
        <f t="shared" si="167"/>
        <v>24.210526315789473</v>
      </c>
      <c r="AF71" s="135">
        <v>100</v>
      </c>
      <c r="AG71" s="135">
        <v>100</v>
      </c>
      <c r="AH71" s="135">
        <v>100</v>
      </c>
      <c r="AI71" s="8">
        <f>AVERAGE(AF71:AH71)</f>
        <v>100</v>
      </c>
      <c r="AJ71" s="119">
        <f t="shared" si="5"/>
        <v>47</v>
      </c>
      <c r="AK71" s="119">
        <f t="shared" si="169"/>
        <v>25.263157894736842</v>
      </c>
      <c r="AL71" s="119">
        <f t="shared" si="6"/>
        <v>49.473684210526315</v>
      </c>
      <c r="AM71" s="135">
        <f t="shared" si="7"/>
        <v>100</v>
      </c>
      <c r="AN71" s="135"/>
      <c r="AO71" s="135"/>
      <c r="AP71" s="8">
        <f>AVERAGE(AM71:AO71)</f>
        <v>100</v>
      </c>
      <c r="AQ71" s="119">
        <f t="shared" si="8"/>
        <v>71</v>
      </c>
      <c r="AR71" s="119">
        <f t="shared" si="171"/>
        <v>25.263157894736842</v>
      </c>
      <c r="AS71" s="119">
        <f t="shared" si="9"/>
        <v>74.73684210526315</v>
      </c>
      <c r="AT71" s="135"/>
      <c r="AU71" s="135"/>
      <c r="AV71" s="135"/>
      <c r="AW71" s="8" t="e">
        <f>AVERAGE(AT71:AV71)</f>
        <v>#DIV/0!</v>
      </c>
      <c r="AX71" s="119">
        <f t="shared" si="10"/>
        <v>95</v>
      </c>
      <c r="AY71" s="119" t="e">
        <f t="shared" si="173"/>
        <v>#DIV/0!</v>
      </c>
      <c r="AZ71" s="119" t="e">
        <f t="shared" si="11"/>
        <v>#DIV/0!</v>
      </c>
      <c r="BA71" s="141"/>
    </row>
    <row r="72" spans="1:53" s="2" customFormat="1" ht="48" customHeight="1" x14ac:dyDescent="0.2">
      <c r="A72" s="151"/>
      <c r="B72" s="152"/>
      <c r="C72" s="245"/>
      <c r="D72" s="174" t="s">
        <v>180</v>
      </c>
      <c r="E72" s="64">
        <v>65</v>
      </c>
      <c r="F72" s="194" t="s">
        <v>181</v>
      </c>
      <c r="G72" s="10" t="s">
        <v>59</v>
      </c>
      <c r="H72" s="10" t="s">
        <v>60</v>
      </c>
      <c r="I72" s="193">
        <v>100</v>
      </c>
      <c r="J72" s="193">
        <v>25</v>
      </c>
      <c r="K72" s="193">
        <v>25</v>
      </c>
      <c r="L72" s="193">
        <v>25</v>
      </c>
      <c r="M72" s="193">
        <v>25</v>
      </c>
      <c r="N72" s="64"/>
      <c r="O72" s="64" t="s">
        <v>66</v>
      </c>
      <c r="P72" s="64" t="s">
        <v>409</v>
      </c>
      <c r="Q72" s="8">
        <v>100</v>
      </c>
      <c r="R72" s="78" t="s">
        <v>334</v>
      </c>
      <c r="S72" s="64" t="s">
        <v>62</v>
      </c>
      <c r="T72" s="64" t="s">
        <v>62</v>
      </c>
      <c r="U72" s="64" t="s">
        <v>62</v>
      </c>
      <c r="V72" s="11" t="s">
        <v>312</v>
      </c>
      <c r="W72" s="141"/>
      <c r="X72" s="141"/>
      <c r="Y72" s="141"/>
      <c r="Z72" s="135">
        <v>100</v>
      </c>
      <c r="AA72" s="135">
        <v>100</v>
      </c>
      <c r="AB72" s="135">
        <v>100</v>
      </c>
      <c r="AC72" s="8">
        <f t="shared" ref="AC72:AC77" si="174">AVERAGE(Z72:AB72)</f>
        <v>100</v>
      </c>
      <c r="AD72" s="119">
        <f t="shared" si="4"/>
        <v>25</v>
      </c>
      <c r="AE72" s="119">
        <f t="shared" si="167"/>
        <v>25</v>
      </c>
      <c r="AF72" s="135">
        <v>100</v>
      </c>
      <c r="AG72" s="135">
        <v>100</v>
      </c>
      <c r="AH72" s="135">
        <v>100</v>
      </c>
      <c r="AI72" s="8">
        <f t="shared" ref="AI72:AI77" si="175">AVERAGE(AF72:AH72)</f>
        <v>100</v>
      </c>
      <c r="AJ72" s="119">
        <f t="shared" si="5"/>
        <v>50</v>
      </c>
      <c r="AK72" s="119">
        <f t="shared" si="169"/>
        <v>25</v>
      </c>
      <c r="AL72" s="119">
        <f t="shared" si="6"/>
        <v>50</v>
      </c>
      <c r="AM72" s="135">
        <f t="shared" ref="AM72:AM106" si="176">Q72</f>
        <v>100</v>
      </c>
      <c r="AN72" s="135"/>
      <c r="AO72" s="135"/>
      <c r="AP72" s="8">
        <f t="shared" ref="AP72:AP77" si="177">AVERAGE(AM72:AO72)</f>
        <v>100</v>
      </c>
      <c r="AQ72" s="119">
        <f t="shared" si="8"/>
        <v>75</v>
      </c>
      <c r="AR72" s="119">
        <f t="shared" si="171"/>
        <v>25</v>
      </c>
      <c r="AS72" s="119">
        <f t="shared" si="9"/>
        <v>75</v>
      </c>
      <c r="AT72" s="135"/>
      <c r="AU72" s="135"/>
      <c r="AV72" s="135"/>
      <c r="AW72" s="8" t="e">
        <f t="shared" ref="AW72:AW77" si="178">AVERAGE(AT72:AV72)</f>
        <v>#DIV/0!</v>
      </c>
      <c r="AX72" s="119">
        <f t="shared" si="10"/>
        <v>100</v>
      </c>
      <c r="AY72" s="119" t="e">
        <f t="shared" si="173"/>
        <v>#DIV/0!</v>
      </c>
      <c r="AZ72" s="119" t="e">
        <f t="shared" si="11"/>
        <v>#DIV/0!</v>
      </c>
      <c r="BA72" s="141"/>
    </row>
    <row r="73" spans="1:53" s="2" customFormat="1" ht="48" customHeight="1" x14ac:dyDescent="0.2">
      <c r="A73" s="151"/>
      <c r="B73" s="152"/>
      <c r="C73" s="245"/>
      <c r="D73" s="173" t="s">
        <v>133</v>
      </c>
      <c r="E73" s="64">
        <v>66</v>
      </c>
      <c r="F73" s="195" t="s">
        <v>182</v>
      </c>
      <c r="G73" s="196" t="s">
        <v>59</v>
      </c>
      <c r="H73" s="196" t="s">
        <v>60</v>
      </c>
      <c r="I73" s="197">
        <v>95</v>
      </c>
      <c r="J73" s="197">
        <v>24</v>
      </c>
      <c r="K73" s="197">
        <v>24</v>
      </c>
      <c r="L73" s="197">
        <v>24</v>
      </c>
      <c r="M73" s="197">
        <v>23</v>
      </c>
      <c r="N73" s="64"/>
      <c r="O73" s="64" t="s">
        <v>66</v>
      </c>
      <c r="P73" s="64" t="s">
        <v>409</v>
      </c>
      <c r="Q73" s="8">
        <v>100</v>
      </c>
      <c r="R73" s="12" t="s">
        <v>332</v>
      </c>
      <c r="S73" s="64" t="s">
        <v>62</v>
      </c>
      <c r="T73" s="64" t="s">
        <v>62</v>
      </c>
      <c r="U73" s="64" t="s">
        <v>62</v>
      </c>
      <c r="V73" s="11" t="s">
        <v>304</v>
      </c>
      <c r="W73" s="141"/>
      <c r="X73" s="141"/>
      <c r="Y73" s="141"/>
      <c r="Z73" s="135">
        <v>100</v>
      </c>
      <c r="AA73" s="135">
        <v>100</v>
      </c>
      <c r="AB73" s="135">
        <v>100</v>
      </c>
      <c r="AC73" s="8">
        <f t="shared" si="174"/>
        <v>100</v>
      </c>
      <c r="AD73" s="119">
        <f t="shared" si="4"/>
        <v>24</v>
      </c>
      <c r="AE73" s="119">
        <f t="shared" si="167"/>
        <v>25.263157894736842</v>
      </c>
      <c r="AF73" s="135">
        <v>100</v>
      </c>
      <c r="AG73" s="135">
        <v>100</v>
      </c>
      <c r="AH73" s="135">
        <v>100</v>
      </c>
      <c r="AI73" s="8">
        <f t="shared" si="175"/>
        <v>100</v>
      </c>
      <c r="AJ73" s="119">
        <f t="shared" si="5"/>
        <v>48</v>
      </c>
      <c r="AK73" s="119">
        <f t="shared" si="169"/>
        <v>25.263157894736842</v>
      </c>
      <c r="AL73" s="119">
        <f t="shared" si="6"/>
        <v>50.526315789473685</v>
      </c>
      <c r="AM73" s="135">
        <f t="shared" si="176"/>
        <v>100</v>
      </c>
      <c r="AN73" s="135"/>
      <c r="AO73" s="135"/>
      <c r="AP73" s="8">
        <f t="shared" si="177"/>
        <v>100</v>
      </c>
      <c r="AQ73" s="119">
        <f t="shared" si="8"/>
        <v>72</v>
      </c>
      <c r="AR73" s="119">
        <f t="shared" si="171"/>
        <v>25.263157894736842</v>
      </c>
      <c r="AS73" s="119">
        <f t="shared" si="9"/>
        <v>75.78947368421052</v>
      </c>
      <c r="AT73" s="135"/>
      <c r="AU73" s="135"/>
      <c r="AV73" s="135"/>
      <c r="AW73" s="8" t="e">
        <f t="shared" si="178"/>
        <v>#DIV/0!</v>
      </c>
      <c r="AX73" s="119">
        <f t="shared" si="10"/>
        <v>95</v>
      </c>
      <c r="AY73" s="119" t="e">
        <f t="shared" si="173"/>
        <v>#DIV/0!</v>
      </c>
      <c r="AZ73" s="119" t="e">
        <f t="shared" si="11"/>
        <v>#DIV/0!</v>
      </c>
      <c r="BA73" s="141"/>
    </row>
    <row r="74" spans="1:53" s="2" customFormat="1" ht="48" customHeight="1" x14ac:dyDescent="0.2">
      <c r="A74" s="151"/>
      <c r="B74" s="152"/>
      <c r="C74" s="245"/>
      <c r="D74" s="173" t="s">
        <v>135</v>
      </c>
      <c r="E74" s="64">
        <v>67</v>
      </c>
      <c r="F74" s="195" t="s">
        <v>182</v>
      </c>
      <c r="G74" s="196" t="s">
        <v>59</v>
      </c>
      <c r="H74" s="196" t="s">
        <v>60</v>
      </c>
      <c r="I74" s="197">
        <v>95</v>
      </c>
      <c r="J74" s="197">
        <v>24</v>
      </c>
      <c r="K74" s="197">
        <v>24</v>
      </c>
      <c r="L74" s="197">
        <v>24</v>
      </c>
      <c r="M74" s="197">
        <v>23</v>
      </c>
      <c r="N74" s="64"/>
      <c r="O74" s="64" t="s">
        <v>66</v>
      </c>
      <c r="P74" s="64" t="s">
        <v>409</v>
      </c>
      <c r="Q74" s="8">
        <v>100</v>
      </c>
      <c r="R74" s="12" t="s">
        <v>332</v>
      </c>
      <c r="S74" s="64" t="s">
        <v>62</v>
      </c>
      <c r="T74" s="64" t="s">
        <v>62</v>
      </c>
      <c r="U74" s="64" t="s">
        <v>62</v>
      </c>
      <c r="V74" s="11" t="s">
        <v>306</v>
      </c>
      <c r="W74" s="141"/>
      <c r="X74" s="141"/>
      <c r="Y74" s="141"/>
      <c r="Z74" s="135">
        <v>100</v>
      </c>
      <c r="AA74" s="135">
        <v>100</v>
      </c>
      <c r="AB74" s="135">
        <v>100</v>
      </c>
      <c r="AC74" s="8">
        <f t="shared" si="174"/>
        <v>100</v>
      </c>
      <c r="AD74" s="119">
        <f t="shared" si="4"/>
        <v>24</v>
      </c>
      <c r="AE74" s="119">
        <f t="shared" si="167"/>
        <v>25.263157894736842</v>
      </c>
      <c r="AF74" s="135">
        <v>100</v>
      </c>
      <c r="AG74" s="135">
        <v>100</v>
      </c>
      <c r="AH74" s="135">
        <v>100</v>
      </c>
      <c r="AI74" s="8">
        <f t="shared" si="175"/>
        <v>100</v>
      </c>
      <c r="AJ74" s="119">
        <f t="shared" si="5"/>
        <v>48</v>
      </c>
      <c r="AK74" s="119">
        <f t="shared" si="169"/>
        <v>25.263157894736842</v>
      </c>
      <c r="AL74" s="119">
        <f t="shared" si="6"/>
        <v>50.526315789473685</v>
      </c>
      <c r="AM74" s="135">
        <f t="shared" si="176"/>
        <v>100</v>
      </c>
      <c r="AN74" s="135"/>
      <c r="AO74" s="135"/>
      <c r="AP74" s="8">
        <f t="shared" si="177"/>
        <v>100</v>
      </c>
      <c r="AQ74" s="119">
        <f t="shared" si="8"/>
        <v>72</v>
      </c>
      <c r="AR74" s="119">
        <f t="shared" si="171"/>
        <v>25.263157894736842</v>
      </c>
      <c r="AS74" s="119">
        <f t="shared" si="9"/>
        <v>75.78947368421052</v>
      </c>
      <c r="AT74" s="135"/>
      <c r="AU74" s="135"/>
      <c r="AV74" s="135"/>
      <c r="AW74" s="8" t="e">
        <f t="shared" si="178"/>
        <v>#DIV/0!</v>
      </c>
      <c r="AX74" s="119">
        <f t="shared" si="10"/>
        <v>95</v>
      </c>
      <c r="AY74" s="119" t="e">
        <f t="shared" si="173"/>
        <v>#DIV/0!</v>
      </c>
      <c r="AZ74" s="119" t="e">
        <f t="shared" si="11"/>
        <v>#DIV/0!</v>
      </c>
      <c r="BA74" s="141"/>
    </row>
    <row r="75" spans="1:53" s="2" customFormat="1" ht="48" customHeight="1" x14ac:dyDescent="0.2">
      <c r="A75" s="151"/>
      <c r="B75" s="152"/>
      <c r="C75" s="245"/>
      <c r="D75" s="173" t="s">
        <v>137</v>
      </c>
      <c r="E75" s="64">
        <v>68</v>
      </c>
      <c r="F75" s="195" t="s">
        <v>182</v>
      </c>
      <c r="G75" s="196" t="s">
        <v>59</v>
      </c>
      <c r="H75" s="196" t="s">
        <v>60</v>
      </c>
      <c r="I75" s="197">
        <v>95</v>
      </c>
      <c r="J75" s="197">
        <v>24</v>
      </c>
      <c r="K75" s="197">
        <v>24</v>
      </c>
      <c r="L75" s="197">
        <v>24</v>
      </c>
      <c r="M75" s="197">
        <v>23</v>
      </c>
      <c r="N75" s="64"/>
      <c r="O75" s="64" t="s">
        <v>66</v>
      </c>
      <c r="P75" s="64" t="s">
        <v>409</v>
      </c>
      <c r="Q75" s="8">
        <v>100</v>
      </c>
      <c r="R75" s="78" t="s">
        <v>332</v>
      </c>
      <c r="S75" s="64" t="s">
        <v>62</v>
      </c>
      <c r="T75" s="64" t="s">
        <v>62</v>
      </c>
      <c r="U75" s="64" t="s">
        <v>62</v>
      </c>
      <c r="V75" s="11" t="s">
        <v>308</v>
      </c>
      <c r="W75" s="141"/>
      <c r="X75" s="141"/>
      <c r="Y75" s="141"/>
      <c r="Z75" s="135">
        <v>100</v>
      </c>
      <c r="AA75" s="135">
        <v>100</v>
      </c>
      <c r="AB75" s="135">
        <v>100</v>
      </c>
      <c r="AC75" s="8">
        <f t="shared" si="174"/>
        <v>100</v>
      </c>
      <c r="AD75" s="119">
        <f t="shared" si="4"/>
        <v>24</v>
      </c>
      <c r="AE75" s="119">
        <f t="shared" si="167"/>
        <v>25.263157894736842</v>
      </c>
      <c r="AF75" s="135">
        <v>100</v>
      </c>
      <c r="AG75" s="135">
        <v>100</v>
      </c>
      <c r="AH75" s="135">
        <v>100</v>
      </c>
      <c r="AI75" s="8">
        <f t="shared" si="175"/>
        <v>100</v>
      </c>
      <c r="AJ75" s="119">
        <f t="shared" si="5"/>
        <v>48</v>
      </c>
      <c r="AK75" s="119">
        <f t="shared" si="169"/>
        <v>25.263157894736842</v>
      </c>
      <c r="AL75" s="119">
        <f t="shared" si="6"/>
        <v>50.526315789473685</v>
      </c>
      <c r="AM75" s="135">
        <f t="shared" si="176"/>
        <v>100</v>
      </c>
      <c r="AN75" s="135"/>
      <c r="AO75" s="135"/>
      <c r="AP75" s="8">
        <f t="shared" si="177"/>
        <v>100</v>
      </c>
      <c r="AQ75" s="119">
        <f t="shared" si="8"/>
        <v>72</v>
      </c>
      <c r="AR75" s="119">
        <f t="shared" si="171"/>
        <v>25.263157894736842</v>
      </c>
      <c r="AS75" s="119">
        <f t="shared" si="9"/>
        <v>75.78947368421052</v>
      </c>
      <c r="AT75" s="135"/>
      <c r="AU75" s="135"/>
      <c r="AV75" s="135"/>
      <c r="AW75" s="8" t="e">
        <f t="shared" si="178"/>
        <v>#DIV/0!</v>
      </c>
      <c r="AX75" s="119">
        <f t="shared" si="10"/>
        <v>95</v>
      </c>
      <c r="AY75" s="119" t="e">
        <f t="shared" si="173"/>
        <v>#DIV/0!</v>
      </c>
      <c r="AZ75" s="119" t="e">
        <f t="shared" si="11"/>
        <v>#DIV/0!</v>
      </c>
      <c r="BA75" s="141"/>
    </row>
    <row r="76" spans="1:53" s="2" customFormat="1" ht="48" customHeight="1" x14ac:dyDescent="0.2">
      <c r="A76" s="151"/>
      <c r="B76" s="152"/>
      <c r="C76" s="245"/>
      <c r="D76" s="173" t="s">
        <v>139</v>
      </c>
      <c r="E76" s="64">
        <v>69</v>
      </c>
      <c r="F76" s="195" t="s">
        <v>182</v>
      </c>
      <c r="G76" s="196" t="s">
        <v>59</v>
      </c>
      <c r="H76" s="196" t="s">
        <v>60</v>
      </c>
      <c r="I76" s="197">
        <v>95</v>
      </c>
      <c r="J76" s="197">
        <v>24</v>
      </c>
      <c r="K76" s="197">
        <v>24</v>
      </c>
      <c r="L76" s="197">
        <v>24</v>
      </c>
      <c r="M76" s="197">
        <v>23</v>
      </c>
      <c r="N76" s="64"/>
      <c r="O76" s="64" t="s">
        <v>66</v>
      </c>
      <c r="P76" s="64" t="s">
        <v>409</v>
      </c>
      <c r="Q76" s="8">
        <v>100</v>
      </c>
      <c r="R76" s="78" t="s">
        <v>332</v>
      </c>
      <c r="S76" s="64" t="s">
        <v>62</v>
      </c>
      <c r="T76" s="64" t="s">
        <v>62</v>
      </c>
      <c r="U76" s="64" t="s">
        <v>62</v>
      </c>
      <c r="V76" s="11" t="s">
        <v>301</v>
      </c>
      <c r="W76" s="141"/>
      <c r="X76" s="141"/>
      <c r="Y76" s="141"/>
      <c r="Z76" s="135">
        <v>100</v>
      </c>
      <c r="AA76" s="135">
        <v>100</v>
      </c>
      <c r="AB76" s="135">
        <v>100</v>
      </c>
      <c r="AC76" s="8">
        <f t="shared" si="174"/>
        <v>100</v>
      </c>
      <c r="AD76" s="119">
        <f t="shared" ref="AD76:AD104" si="179">J76</f>
        <v>24</v>
      </c>
      <c r="AE76" s="119">
        <f t="shared" si="167"/>
        <v>25.263157894736842</v>
      </c>
      <c r="AF76" s="135">
        <v>100</v>
      </c>
      <c r="AG76" s="135">
        <v>100</v>
      </c>
      <c r="AH76" s="135">
        <v>100</v>
      </c>
      <c r="AI76" s="8">
        <f t="shared" si="175"/>
        <v>100</v>
      </c>
      <c r="AJ76" s="119">
        <f t="shared" ref="AJ76:AJ104" si="180">J76+K76</f>
        <v>48</v>
      </c>
      <c r="AK76" s="119">
        <f t="shared" si="169"/>
        <v>25.263157894736842</v>
      </c>
      <c r="AL76" s="119">
        <f t="shared" ref="AL76:AL104" si="181">AE76+AK76</f>
        <v>50.526315789473685</v>
      </c>
      <c r="AM76" s="135">
        <f t="shared" si="176"/>
        <v>100</v>
      </c>
      <c r="AN76" s="135"/>
      <c r="AO76" s="135"/>
      <c r="AP76" s="8">
        <f t="shared" si="177"/>
        <v>100</v>
      </c>
      <c r="AQ76" s="119">
        <f t="shared" ref="AQ76:AQ104" si="182">J76+K76+L76</f>
        <v>72</v>
      </c>
      <c r="AR76" s="119">
        <f t="shared" si="171"/>
        <v>25.263157894736842</v>
      </c>
      <c r="AS76" s="119">
        <f t="shared" ref="AS76:AS104" si="183">AE76+AK76+AR76</f>
        <v>75.78947368421052</v>
      </c>
      <c r="AT76" s="135"/>
      <c r="AU76" s="135"/>
      <c r="AV76" s="135"/>
      <c r="AW76" s="8" t="e">
        <f t="shared" si="178"/>
        <v>#DIV/0!</v>
      </c>
      <c r="AX76" s="119">
        <f t="shared" ref="AX76:AX104" si="184">J76+K76+L76+M76</f>
        <v>95</v>
      </c>
      <c r="AY76" s="119" t="e">
        <f t="shared" si="173"/>
        <v>#DIV/0!</v>
      </c>
      <c r="AZ76" s="119" t="e">
        <f t="shared" ref="AZ76:AZ104" si="185">AE76+AK76+AR76+AY76</f>
        <v>#DIV/0!</v>
      </c>
      <c r="BA76" s="141"/>
    </row>
    <row r="77" spans="1:53" s="2" customFormat="1" ht="48" customHeight="1" x14ac:dyDescent="0.2">
      <c r="A77" s="151"/>
      <c r="B77" s="152"/>
      <c r="C77" s="246"/>
      <c r="D77" s="161" t="s">
        <v>124</v>
      </c>
      <c r="E77" s="64">
        <v>70</v>
      </c>
      <c r="F77" s="195" t="s">
        <v>183</v>
      </c>
      <c r="G77" s="196" t="s">
        <v>59</v>
      </c>
      <c r="H77" s="196" t="s">
        <v>60</v>
      </c>
      <c r="I77" s="197">
        <v>90</v>
      </c>
      <c r="J77" s="197">
        <v>22</v>
      </c>
      <c r="K77" s="197">
        <v>23</v>
      </c>
      <c r="L77" s="197">
        <v>22</v>
      </c>
      <c r="M77" s="197">
        <v>23</v>
      </c>
      <c r="N77" s="64"/>
      <c r="O77" s="64" t="s">
        <v>66</v>
      </c>
      <c r="P77" s="64" t="s">
        <v>409</v>
      </c>
      <c r="Q77" s="8">
        <v>99</v>
      </c>
      <c r="R77" s="12" t="s">
        <v>402</v>
      </c>
      <c r="S77" s="64" t="s">
        <v>62</v>
      </c>
      <c r="T77" s="64" t="s">
        <v>62</v>
      </c>
      <c r="U77" s="64" t="s">
        <v>62</v>
      </c>
      <c r="V77" s="11" t="s">
        <v>335</v>
      </c>
      <c r="W77" s="141"/>
      <c r="X77" s="141"/>
      <c r="Y77" s="141"/>
      <c r="Z77" s="135">
        <v>99</v>
      </c>
      <c r="AA77" s="135">
        <v>99</v>
      </c>
      <c r="AB77" s="135">
        <v>99</v>
      </c>
      <c r="AC77" s="8">
        <f t="shared" si="174"/>
        <v>99</v>
      </c>
      <c r="AD77" s="119">
        <f t="shared" si="179"/>
        <v>22</v>
      </c>
      <c r="AE77" s="119">
        <f t="shared" si="167"/>
        <v>24.2</v>
      </c>
      <c r="AF77" s="135">
        <v>99</v>
      </c>
      <c r="AG77" s="135">
        <v>99</v>
      </c>
      <c r="AH77" s="135">
        <v>99</v>
      </c>
      <c r="AI77" s="8">
        <f t="shared" si="175"/>
        <v>99</v>
      </c>
      <c r="AJ77" s="119">
        <f t="shared" si="180"/>
        <v>45</v>
      </c>
      <c r="AK77" s="119">
        <f t="shared" si="169"/>
        <v>25.3</v>
      </c>
      <c r="AL77" s="119">
        <f t="shared" si="181"/>
        <v>49.5</v>
      </c>
      <c r="AM77" s="135">
        <f t="shared" si="176"/>
        <v>99</v>
      </c>
      <c r="AN77" s="135"/>
      <c r="AO77" s="135"/>
      <c r="AP77" s="8">
        <f t="shared" si="177"/>
        <v>99</v>
      </c>
      <c r="AQ77" s="119">
        <f t="shared" si="182"/>
        <v>67</v>
      </c>
      <c r="AR77" s="119">
        <f t="shared" si="171"/>
        <v>24.2</v>
      </c>
      <c r="AS77" s="119">
        <f t="shared" si="183"/>
        <v>73.7</v>
      </c>
      <c r="AT77" s="135"/>
      <c r="AU77" s="135"/>
      <c r="AV77" s="135"/>
      <c r="AW77" s="8" t="e">
        <f t="shared" si="178"/>
        <v>#DIV/0!</v>
      </c>
      <c r="AX77" s="119">
        <f t="shared" si="184"/>
        <v>90</v>
      </c>
      <c r="AY77" s="119" t="e">
        <f t="shared" si="173"/>
        <v>#DIV/0!</v>
      </c>
      <c r="AZ77" s="119" t="e">
        <f t="shared" si="185"/>
        <v>#DIV/0!</v>
      </c>
      <c r="BA77" s="141"/>
    </row>
    <row r="78" spans="1:53" s="2" customFormat="1" ht="43.5" customHeight="1" x14ac:dyDescent="0.2">
      <c r="A78" s="151"/>
      <c r="B78" s="152"/>
      <c r="C78" s="244" t="s">
        <v>184</v>
      </c>
      <c r="D78" s="247" t="s">
        <v>185</v>
      </c>
      <c r="E78" s="64">
        <v>71</v>
      </c>
      <c r="F78" s="140" t="s">
        <v>186</v>
      </c>
      <c r="G78" s="198" t="s">
        <v>59</v>
      </c>
      <c r="H78" s="198" t="s">
        <v>60</v>
      </c>
      <c r="I78" s="199">
        <v>100</v>
      </c>
      <c r="J78" s="135">
        <v>25</v>
      </c>
      <c r="K78" s="135">
        <v>25</v>
      </c>
      <c r="L78" s="135">
        <v>25</v>
      </c>
      <c r="M78" s="135">
        <v>25</v>
      </c>
      <c r="N78" s="64" t="s">
        <v>66</v>
      </c>
      <c r="O78" s="64"/>
      <c r="P78" s="64" t="s">
        <v>409</v>
      </c>
      <c r="Q78" s="8">
        <v>100</v>
      </c>
      <c r="R78" s="12" t="s">
        <v>336</v>
      </c>
      <c r="S78" s="64" t="s">
        <v>62</v>
      </c>
      <c r="T78" s="64" t="s">
        <v>62</v>
      </c>
      <c r="U78" s="64" t="s">
        <v>62</v>
      </c>
      <c r="V78" s="11" t="s">
        <v>337</v>
      </c>
      <c r="W78" s="141"/>
      <c r="X78" s="141"/>
      <c r="Y78" s="141"/>
      <c r="Z78" s="135">
        <v>100</v>
      </c>
      <c r="AA78" s="135">
        <v>100</v>
      </c>
      <c r="AB78" s="135">
        <v>100</v>
      </c>
      <c r="AC78" s="8">
        <f t="shared" ref="AC78:AC83" si="186">AVERAGE(Z78:AB78)</f>
        <v>100</v>
      </c>
      <c r="AD78" s="119">
        <f t="shared" si="179"/>
        <v>25</v>
      </c>
      <c r="AE78" s="119">
        <f t="shared" si="167"/>
        <v>25</v>
      </c>
      <c r="AF78" s="135">
        <v>100</v>
      </c>
      <c r="AG78" s="135">
        <v>100</v>
      </c>
      <c r="AH78" s="135">
        <v>100</v>
      </c>
      <c r="AI78" s="8">
        <f t="shared" ref="AI78:AI83" si="187">AVERAGE(AF78:AH78)</f>
        <v>100</v>
      </c>
      <c r="AJ78" s="119">
        <f t="shared" si="180"/>
        <v>50</v>
      </c>
      <c r="AK78" s="119">
        <f t="shared" si="169"/>
        <v>25</v>
      </c>
      <c r="AL78" s="119">
        <f t="shared" si="181"/>
        <v>50</v>
      </c>
      <c r="AM78" s="135">
        <f t="shared" si="176"/>
        <v>100</v>
      </c>
      <c r="AN78" s="135"/>
      <c r="AO78" s="135"/>
      <c r="AP78" s="8">
        <f t="shared" ref="AP78:AP83" si="188">AVERAGE(AM78:AO78)</f>
        <v>100</v>
      </c>
      <c r="AQ78" s="119">
        <f t="shared" si="182"/>
        <v>75</v>
      </c>
      <c r="AR78" s="119">
        <f t="shared" si="171"/>
        <v>25</v>
      </c>
      <c r="AS78" s="119">
        <f t="shared" si="183"/>
        <v>75</v>
      </c>
      <c r="AT78" s="135"/>
      <c r="AU78" s="135"/>
      <c r="AV78" s="135"/>
      <c r="AW78" s="8" t="e">
        <f t="shared" ref="AW78:AW83" si="189">AVERAGE(AT78:AV78)</f>
        <v>#DIV/0!</v>
      </c>
      <c r="AX78" s="119">
        <f t="shared" si="184"/>
        <v>100</v>
      </c>
      <c r="AY78" s="119" t="e">
        <f t="shared" si="173"/>
        <v>#DIV/0!</v>
      </c>
      <c r="AZ78" s="119" t="e">
        <f t="shared" si="185"/>
        <v>#DIV/0!</v>
      </c>
      <c r="BA78" s="141"/>
    </row>
    <row r="79" spans="1:53" s="2" customFormat="1" ht="43.5" customHeight="1" x14ac:dyDescent="0.2">
      <c r="A79" s="151"/>
      <c r="B79" s="152"/>
      <c r="C79" s="245"/>
      <c r="D79" s="249"/>
      <c r="E79" s="64">
        <v>72</v>
      </c>
      <c r="F79" s="140" t="s">
        <v>187</v>
      </c>
      <c r="G79" s="198" t="s">
        <v>65</v>
      </c>
      <c r="H79" s="198" t="s">
        <v>60</v>
      </c>
      <c r="I79" s="199">
        <v>100</v>
      </c>
      <c r="J79" s="135">
        <v>25</v>
      </c>
      <c r="K79" s="135">
        <v>25</v>
      </c>
      <c r="L79" s="135">
        <v>25</v>
      </c>
      <c r="M79" s="135">
        <v>25</v>
      </c>
      <c r="N79" s="64" t="s">
        <v>66</v>
      </c>
      <c r="O79" s="64"/>
      <c r="P79" s="64" t="s">
        <v>409</v>
      </c>
      <c r="Q79" s="8">
        <v>0</v>
      </c>
      <c r="R79" s="78" t="s">
        <v>448</v>
      </c>
      <c r="S79" s="64" t="s">
        <v>62</v>
      </c>
      <c r="T79" s="64" t="s">
        <v>62</v>
      </c>
      <c r="U79" s="64" t="s">
        <v>62</v>
      </c>
      <c r="V79" s="11" t="s">
        <v>337</v>
      </c>
      <c r="W79" s="141"/>
      <c r="X79" s="141"/>
      <c r="Y79" s="141"/>
      <c r="Z79" s="135">
        <v>0</v>
      </c>
      <c r="AA79" s="135">
        <v>0</v>
      </c>
      <c r="AB79" s="135">
        <v>100</v>
      </c>
      <c r="AC79" s="106">
        <f>AB79</f>
        <v>100</v>
      </c>
      <c r="AD79" s="119">
        <f t="shared" si="179"/>
        <v>25</v>
      </c>
      <c r="AE79" s="119">
        <f t="shared" si="167"/>
        <v>25</v>
      </c>
      <c r="AF79" s="135">
        <v>0</v>
      </c>
      <c r="AG79" s="135">
        <v>0</v>
      </c>
      <c r="AH79" s="135">
        <v>100</v>
      </c>
      <c r="AI79" s="106">
        <f>AH79</f>
        <v>100</v>
      </c>
      <c r="AJ79" s="119">
        <f t="shared" si="180"/>
        <v>50</v>
      </c>
      <c r="AK79" s="119">
        <f t="shared" si="169"/>
        <v>25</v>
      </c>
      <c r="AL79" s="119">
        <f t="shared" si="181"/>
        <v>50</v>
      </c>
      <c r="AM79" s="135">
        <f t="shared" si="176"/>
        <v>0</v>
      </c>
      <c r="AN79" s="135"/>
      <c r="AO79" s="135"/>
      <c r="AP79" s="8">
        <f t="shared" si="188"/>
        <v>0</v>
      </c>
      <c r="AQ79" s="119">
        <f t="shared" si="182"/>
        <v>75</v>
      </c>
      <c r="AR79" s="119">
        <f t="shared" si="171"/>
        <v>0</v>
      </c>
      <c r="AS79" s="119">
        <f t="shared" si="183"/>
        <v>50</v>
      </c>
      <c r="AT79" s="135"/>
      <c r="AU79" s="135"/>
      <c r="AV79" s="135"/>
      <c r="AW79" s="8" t="e">
        <f t="shared" si="189"/>
        <v>#DIV/0!</v>
      </c>
      <c r="AX79" s="119">
        <f t="shared" si="184"/>
        <v>100</v>
      </c>
      <c r="AY79" s="119" t="e">
        <f t="shared" si="173"/>
        <v>#DIV/0!</v>
      </c>
      <c r="AZ79" s="119" t="e">
        <f t="shared" si="185"/>
        <v>#DIV/0!</v>
      </c>
      <c r="BA79" s="141"/>
    </row>
    <row r="80" spans="1:53" s="2" customFormat="1" ht="40.5" customHeight="1" x14ac:dyDescent="0.2">
      <c r="A80" s="151"/>
      <c r="B80" s="152"/>
      <c r="C80" s="245"/>
      <c r="D80" s="247" t="s">
        <v>188</v>
      </c>
      <c r="E80" s="64">
        <v>73</v>
      </c>
      <c r="F80" s="60" t="s">
        <v>189</v>
      </c>
      <c r="G80" s="64" t="s">
        <v>59</v>
      </c>
      <c r="H80" s="64" t="s">
        <v>60</v>
      </c>
      <c r="I80" s="135">
        <v>100</v>
      </c>
      <c r="J80" s="135">
        <v>25</v>
      </c>
      <c r="K80" s="135">
        <v>25</v>
      </c>
      <c r="L80" s="135">
        <v>25</v>
      </c>
      <c r="M80" s="135">
        <v>25</v>
      </c>
      <c r="N80" s="64" t="s">
        <v>66</v>
      </c>
      <c r="O80" s="64"/>
      <c r="P80" s="64" t="s">
        <v>409</v>
      </c>
      <c r="Q80" s="8">
        <v>100</v>
      </c>
      <c r="R80" s="12" t="s">
        <v>338</v>
      </c>
      <c r="S80" s="64" t="s">
        <v>62</v>
      </c>
      <c r="T80" s="64" t="s">
        <v>62</v>
      </c>
      <c r="U80" s="64" t="s">
        <v>62</v>
      </c>
      <c r="V80" s="11" t="s">
        <v>339</v>
      </c>
      <c r="W80" s="141"/>
      <c r="X80" s="141"/>
      <c r="Y80" s="141"/>
      <c r="Z80" s="135">
        <v>100</v>
      </c>
      <c r="AA80" s="135">
        <v>100</v>
      </c>
      <c r="AB80" s="135">
        <v>100</v>
      </c>
      <c r="AC80" s="8">
        <f t="shared" si="186"/>
        <v>100</v>
      </c>
      <c r="AD80" s="119">
        <f t="shared" si="179"/>
        <v>25</v>
      </c>
      <c r="AE80" s="119">
        <f t="shared" si="167"/>
        <v>25</v>
      </c>
      <c r="AF80" s="135">
        <v>100</v>
      </c>
      <c r="AG80" s="135">
        <v>100</v>
      </c>
      <c r="AH80" s="135">
        <v>100</v>
      </c>
      <c r="AI80" s="8">
        <f t="shared" si="187"/>
        <v>100</v>
      </c>
      <c r="AJ80" s="119">
        <f t="shared" si="180"/>
        <v>50</v>
      </c>
      <c r="AK80" s="119">
        <f t="shared" si="169"/>
        <v>25</v>
      </c>
      <c r="AL80" s="119">
        <f t="shared" si="181"/>
        <v>50</v>
      </c>
      <c r="AM80" s="135">
        <f t="shared" si="176"/>
        <v>100</v>
      </c>
      <c r="AN80" s="135"/>
      <c r="AO80" s="135"/>
      <c r="AP80" s="8">
        <f t="shared" si="188"/>
        <v>100</v>
      </c>
      <c r="AQ80" s="119">
        <f t="shared" si="182"/>
        <v>75</v>
      </c>
      <c r="AR80" s="119">
        <f t="shared" si="171"/>
        <v>25</v>
      </c>
      <c r="AS80" s="119">
        <f t="shared" si="183"/>
        <v>75</v>
      </c>
      <c r="AT80" s="135"/>
      <c r="AU80" s="135"/>
      <c r="AV80" s="135"/>
      <c r="AW80" s="8" t="e">
        <f t="shared" si="189"/>
        <v>#DIV/0!</v>
      </c>
      <c r="AX80" s="119">
        <f t="shared" si="184"/>
        <v>100</v>
      </c>
      <c r="AY80" s="119" t="e">
        <f t="shared" si="173"/>
        <v>#DIV/0!</v>
      </c>
      <c r="AZ80" s="119" t="e">
        <f t="shared" si="185"/>
        <v>#DIV/0!</v>
      </c>
      <c r="BA80" s="141"/>
    </row>
    <row r="81" spans="1:53" s="2" customFormat="1" ht="45" customHeight="1" x14ac:dyDescent="0.2">
      <c r="A81" s="151"/>
      <c r="B81" s="152"/>
      <c r="C81" s="245"/>
      <c r="D81" s="248"/>
      <c r="E81" s="64">
        <v>74</v>
      </c>
      <c r="F81" s="60" t="s">
        <v>190</v>
      </c>
      <c r="G81" s="64" t="s">
        <v>59</v>
      </c>
      <c r="H81" s="64" t="s">
        <v>60</v>
      </c>
      <c r="I81" s="135">
        <v>100</v>
      </c>
      <c r="J81" s="135">
        <v>25</v>
      </c>
      <c r="K81" s="135">
        <v>25</v>
      </c>
      <c r="L81" s="135">
        <v>25</v>
      </c>
      <c r="M81" s="135">
        <v>25</v>
      </c>
      <c r="N81" s="64" t="s">
        <v>66</v>
      </c>
      <c r="O81" s="64"/>
      <c r="P81" s="64" t="s">
        <v>409</v>
      </c>
      <c r="Q81" s="8">
        <v>100</v>
      </c>
      <c r="R81" s="12" t="s">
        <v>340</v>
      </c>
      <c r="S81" s="64" t="s">
        <v>62</v>
      </c>
      <c r="T81" s="64" t="s">
        <v>62</v>
      </c>
      <c r="U81" s="64" t="s">
        <v>62</v>
      </c>
      <c r="V81" s="11" t="s">
        <v>341</v>
      </c>
      <c r="W81" s="141"/>
      <c r="X81" s="141"/>
      <c r="Y81" s="141"/>
      <c r="Z81" s="135">
        <v>100</v>
      </c>
      <c r="AA81" s="135">
        <v>100</v>
      </c>
      <c r="AB81" s="135">
        <v>100</v>
      </c>
      <c r="AC81" s="8">
        <f t="shared" si="186"/>
        <v>100</v>
      </c>
      <c r="AD81" s="119">
        <f t="shared" si="179"/>
        <v>25</v>
      </c>
      <c r="AE81" s="119">
        <f t="shared" si="167"/>
        <v>25</v>
      </c>
      <c r="AF81" s="135">
        <v>100</v>
      </c>
      <c r="AG81" s="135">
        <v>100</v>
      </c>
      <c r="AH81" s="135">
        <v>100</v>
      </c>
      <c r="AI81" s="8">
        <f t="shared" si="187"/>
        <v>100</v>
      </c>
      <c r="AJ81" s="119">
        <f t="shared" si="180"/>
        <v>50</v>
      </c>
      <c r="AK81" s="119">
        <f t="shared" si="169"/>
        <v>25</v>
      </c>
      <c r="AL81" s="119">
        <f t="shared" si="181"/>
        <v>50</v>
      </c>
      <c r="AM81" s="135">
        <f t="shared" si="176"/>
        <v>100</v>
      </c>
      <c r="AN81" s="135"/>
      <c r="AO81" s="135"/>
      <c r="AP81" s="8">
        <f t="shared" si="188"/>
        <v>100</v>
      </c>
      <c r="AQ81" s="119">
        <f t="shared" si="182"/>
        <v>75</v>
      </c>
      <c r="AR81" s="119">
        <f t="shared" si="171"/>
        <v>25</v>
      </c>
      <c r="AS81" s="119">
        <f t="shared" si="183"/>
        <v>75</v>
      </c>
      <c r="AT81" s="135"/>
      <c r="AU81" s="135"/>
      <c r="AV81" s="135"/>
      <c r="AW81" s="8" t="e">
        <f t="shared" si="189"/>
        <v>#DIV/0!</v>
      </c>
      <c r="AX81" s="119">
        <f t="shared" si="184"/>
        <v>100</v>
      </c>
      <c r="AY81" s="119" t="e">
        <f t="shared" si="173"/>
        <v>#DIV/0!</v>
      </c>
      <c r="AZ81" s="119" t="e">
        <f t="shared" si="185"/>
        <v>#DIV/0!</v>
      </c>
      <c r="BA81" s="141"/>
    </row>
    <row r="82" spans="1:53" s="2" customFormat="1" ht="45" customHeight="1" x14ac:dyDescent="0.2">
      <c r="A82" s="151"/>
      <c r="B82" s="151"/>
      <c r="C82" s="245"/>
      <c r="D82" s="248"/>
      <c r="E82" s="64">
        <v>75</v>
      </c>
      <c r="F82" s="60" t="s">
        <v>191</v>
      </c>
      <c r="G82" s="64" t="s">
        <v>59</v>
      </c>
      <c r="H82" s="64" t="s">
        <v>60</v>
      </c>
      <c r="I82" s="135">
        <v>100</v>
      </c>
      <c r="J82" s="135">
        <v>25</v>
      </c>
      <c r="K82" s="135">
        <v>25</v>
      </c>
      <c r="L82" s="135">
        <v>25</v>
      </c>
      <c r="M82" s="135">
        <v>25</v>
      </c>
      <c r="N82" s="64" t="s">
        <v>66</v>
      </c>
      <c r="O82" s="64"/>
      <c r="P82" s="64" t="s">
        <v>409</v>
      </c>
      <c r="Q82" s="8">
        <v>100</v>
      </c>
      <c r="R82" s="12" t="s">
        <v>342</v>
      </c>
      <c r="S82" s="64" t="s">
        <v>62</v>
      </c>
      <c r="T82" s="64" t="s">
        <v>62</v>
      </c>
      <c r="U82" s="64" t="s">
        <v>62</v>
      </c>
      <c r="V82" s="11" t="s">
        <v>343</v>
      </c>
      <c r="W82" s="141"/>
      <c r="X82" s="141"/>
      <c r="Y82" s="141"/>
      <c r="Z82" s="135">
        <v>100</v>
      </c>
      <c r="AA82" s="135">
        <v>100</v>
      </c>
      <c r="AB82" s="135">
        <v>100</v>
      </c>
      <c r="AC82" s="8">
        <f t="shared" si="186"/>
        <v>100</v>
      </c>
      <c r="AD82" s="119">
        <f t="shared" si="179"/>
        <v>25</v>
      </c>
      <c r="AE82" s="119">
        <f t="shared" si="167"/>
        <v>25</v>
      </c>
      <c r="AF82" s="135">
        <v>100</v>
      </c>
      <c r="AG82" s="135">
        <v>100</v>
      </c>
      <c r="AH82" s="135">
        <v>100</v>
      </c>
      <c r="AI82" s="8">
        <f t="shared" si="187"/>
        <v>100</v>
      </c>
      <c r="AJ82" s="119">
        <f t="shared" si="180"/>
        <v>50</v>
      </c>
      <c r="AK82" s="119">
        <f t="shared" si="169"/>
        <v>25</v>
      </c>
      <c r="AL82" s="119">
        <f t="shared" si="181"/>
        <v>50</v>
      </c>
      <c r="AM82" s="135">
        <f t="shared" si="176"/>
        <v>100</v>
      </c>
      <c r="AN82" s="135"/>
      <c r="AO82" s="135"/>
      <c r="AP82" s="8">
        <f t="shared" si="188"/>
        <v>100</v>
      </c>
      <c r="AQ82" s="119">
        <f t="shared" si="182"/>
        <v>75</v>
      </c>
      <c r="AR82" s="119">
        <f t="shared" si="171"/>
        <v>25</v>
      </c>
      <c r="AS82" s="119">
        <f t="shared" si="183"/>
        <v>75</v>
      </c>
      <c r="AT82" s="135"/>
      <c r="AU82" s="135"/>
      <c r="AV82" s="135"/>
      <c r="AW82" s="8" t="e">
        <f t="shared" si="189"/>
        <v>#DIV/0!</v>
      </c>
      <c r="AX82" s="119">
        <f t="shared" si="184"/>
        <v>100</v>
      </c>
      <c r="AY82" s="119" t="e">
        <f t="shared" si="173"/>
        <v>#DIV/0!</v>
      </c>
      <c r="AZ82" s="119" t="e">
        <f t="shared" si="185"/>
        <v>#DIV/0!</v>
      </c>
      <c r="BA82" s="141"/>
    </row>
    <row r="83" spans="1:53" s="2" customFormat="1" ht="45" customHeight="1" x14ac:dyDescent="0.2">
      <c r="A83" s="151"/>
      <c r="B83" s="151"/>
      <c r="C83" s="246"/>
      <c r="D83" s="249"/>
      <c r="E83" s="64">
        <v>76</v>
      </c>
      <c r="F83" s="60" t="s">
        <v>192</v>
      </c>
      <c r="G83" s="64" t="s">
        <v>59</v>
      </c>
      <c r="H83" s="64" t="s">
        <v>60</v>
      </c>
      <c r="I83" s="135">
        <v>100</v>
      </c>
      <c r="J83" s="135">
        <v>25</v>
      </c>
      <c r="K83" s="135">
        <v>25</v>
      </c>
      <c r="L83" s="135">
        <v>25</v>
      </c>
      <c r="M83" s="135">
        <v>25</v>
      </c>
      <c r="N83" s="64" t="s">
        <v>66</v>
      </c>
      <c r="O83" s="64"/>
      <c r="P83" s="64" t="s">
        <v>409</v>
      </c>
      <c r="Q83" s="8">
        <v>100</v>
      </c>
      <c r="R83" s="12" t="s">
        <v>460</v>
      </c>
      <c r="S83" s="64" t="s">
        <v>62</v>
      </c>
      <c r="T83" s="64" t="s">
        <v>62</v>
      </c>
      <c r="U83" s="64" t="s">
        <v>62</v>
      </c>
      <c r="V83" s="11" t="s">
        <v>341</v>
      </c>
      <c r="W83" s="141"/>
      <c r="X83" s="141"/>
      <c r="Y83" s="141"/>
      <c r="Z83" s="135">
        <v>100</v>
      </c>
      <c r="AA83" s="135">
        <v>100</v>
      </c>
      <c r="AB83" s="135">
        <v>100</v>
      </c>
      <c r="AC83" s="8">
        <f t="shared" si="186"/>
        <v>100</v>
      </c>
      <c r="AD83" s="119">
        <f t="shared" si="179"/>
        <v>25</v>
      </c>
      <c r="AE83" s="119">
        <f t="shared" si="167"/>
        <v>25</v>
      </c>
      <c r="AF83" s="135">
        <v>100</v>
      </c>
      <c r="AG83" s="135">
        <v>100</v>
      </c>
      <c r="AH83" s="135">
        <v>100</v>
      </c>
      <c r="AI83" s="8">
        <f t="shared" si="187"/>
        <v>100</v>
      </c>
      <c r="AJ83" s="119">
        <f t="shared" si="180"/>
        <v>50</v>
      </c>
      <c r="AK83" s="119">
        <f t="shared" si="169"/>
        <v>25</v>
      </c>
      <c r="AL83" s="119">
        <f t="shared" si="181"/>
        <v>50</v>
      </c>
      <c r="AM83" s="135">
        <f t="shared" si="176"/>
        <v>100</v>
      </c>
      <c r="AN83" s="135"/>
      <c r="AO83" s="135"/>
      <c r="AP83" s="8">
        <f t="shared" si="188"/>
        <v>100</v>
      </c>
      <c r="AQ83" s="119">
        <f t="shared" si="182"/>
        <v>75</v>
      </c>
      <c r="AR83" s="119">
        <f t="shared" si="171"/>
        <v>25</v>
      </c>
      <c r="AS83" s="119">
        <f t="shared" si="183"/>
        <v>75</v>
      </c>
      <c r="AT83" s="135"/>
      <c r="AU83" s="135"/>
      <c r="AV83" s="135"/>
      <c r="AW83" s="8" t="e">
        <f t="shared" si="189"/>
        <v>#DIV/0!</v>
      </c>
      <c r="AX83" s="119">
        <f t="shared" si="184"/>
        <v>100</v>
      </c>
      <c r="AY83" s="119" t="e">
        <f t="shared" si="173"/>
        <v>#DIV/0!</v>
      </c>
      <c r="AZ83" s="119" t="e">
        <f t="shared" si="185"/>
        <v>#DIV/0!</v>
      </c>
      <c r="BA83" s="141"/>
    </row>
    <row r="84" spans="1:53" s="2" customFormat="1" ht="43.5" customHeight="1" x14ac:dyDescent="0.2">
      <c r="A84" s="151"/>
      <c r="B84" s="151"/>
      <c r="C84" s="244" t="s">
        <v>70</v>
      </c>
      <c r="D84" s="247" t="s">
        <v>193</v>
      </c>
      <c r="E84" s="64">
        <v>77</v>
      </c>
      <c r="F84" s="60" t="s">
        <v>194</v>
      </c>
      <c r="G84" s="64" t="s">
        <v>65</v>
      </c>
      <c r="H84" s="64" t="s">
        <v>60</v>
      </c>
      <c r="I84" s="135">
        <v>90</v>
      </c>
      <c r="J84" s="135">
        <v>22</v>
      </c>
      <c r="K84" s="135">
        <v>23</v>
      </c>
      <c r="L84" s="135">
        <v>22</v>
      </c>
      <c r="M84" s="135">
        <v>23</v>
      </c>
      <c r="N84" s="64" t="s">
        <v>66</v>
      </c>
      <c r="O84" s="64"/>
      <c r="P84" s="64" t="s">
        <v>409</v>
      </c>
      <c r="Q84" s="123">
        <v>0</v>
      </c>
      <c r="R84" s="78" t="s">
        <v>457</v>
      </c>
      <c r="S84" s="64" t="s">
        <v>62</v>
      </c>
      <c r="T84" s="64" t="s">
        <v>62</v>
      </c>
      <c r="U84" s="64" t="s">
        <v>62</v>
      </c>
      <c r="V84" s="11" t="s">
        <v>344</v>
      </c>
      <c r="W84" s="141"/>
      <c r="X84" s="141"/>
      <c r="Y84" s="141"/>
      <c r="Z84" s="135">
        <v>0</v>
      </c>
      <c r="AA84" s="135">
        <v>0</v>
      </c>
      <c r="AB84" s="135">
        <v>93</v>
      </c>
      <c r="AC84" s="144">
        <f>AB84</f>
        <v>93</v>
      </c>
      <c r="AD84" s="119">
        <f t="shared" si="179"/>
        <v>22</v>
      </c>
      <c r="AE84" s="119">
        <f t="shared" si="167"/>
        <v>22.733333333333334</v>
      </c>
      <c r="AF84" s="135">
        <v>0</v>
      </c>
      <c r="AG84" s="135">
        <v>0</v>
      </c>
      <c r="AH84" s="135">
        <v>93</v>
      </c>
      <c r="AI84" s="144">
        <f>AH84</f>
        <v>93</v>
      </c>
      <c r="AJ84" s="119">
        <f t="shared" si="180"/>
        <v>45</v>
      </c>
      <c r="AK84" s="119">
        <f t="shared" si="169"/>
        <v>23.766666666666666</v>
      </c>
      <c r="AL84" s="119">
        <f t="shared" si="181"/>
        <v>46.5</v>
      </c>
      <c r="AM84" s="135">
        <f t="shared" si="176"/>
        <v>0</v>
      </c>
      <c r="AN84" s="135"/>
      <c r="AO84" s="135"/>
      <c r="AP84" s="144">
        <f>AO84</f>
        <v>0</v>
      </c>
      <c r="AQ84" s="119">
        <f t="shared" si="182"/>
        <v>67</v>
      </c>
      <c r="AR84" s="119">
        <f t="shared" si="171"/>
        <v>0</v>
      </c>
      <c r="AS84" s="119">
        <f t="shared" si="183"/>
        <v>46.5</v>
      </c>
      <c r="AT84" s="135"/>
      <c r="AU84" s="135"/>
      <c r="AV84" s="135"/>
      <c r="AW84" s="144">
        <f>AV84</f>
        <v>0</v>
      </c>
      <c r="AX84" s="119">
        <f t="shared" si="184"/>
        <v>90</v>
      </c>
      <c r="AY84" s="119">
        <f t="shared" si="173"/>
        <v>0</v>
      </c>
      <c r="AZ84" s="119">
        <f t="shared" si="185"/>
        <v>46.5</v>
      </c>
      <c r="BA84" s="141"/>
    </row>
    <row r="85" spans="1:53" s="2" customFormat="1" ht="36.75" customHeight="1" x14ac:dyDescent="0.2">
      <c r="A85" s="152"/>
      <c r="B85" s="153"/>
      <c r="C85" s="245"/>
      <c r="D85" s="249"/>
      <c r="E85" s="64">
        <v>78</v>
      </c>
      <c r="F85" s="60" t="s">
        <v>195</v>
      </c>
      <c r="G85" s="64" t="s">
        <v>196</v>
      </c>
      <c r="H85" s="64" t="s">
        <v>60</v>
      </c>
      <c r="I85" s="135">
        <v>100</v>
      </c>
      <c r="J85" s="135">
        <v>100</v>
      </c>
      <c r="K85" s="135">
        <v>0</v>
      </c>
      <c r="L85" s="135">
        <v>0</v>
      </c>
      <c r="M85" s="135">
        <v>0</v>
      </c>
      <c r="N85" s="64" t="s">
        <v>66</v>
      </c>
      <c r="O85" s="64"/>
      <c r="P85" s="64" t="s">
        <v>409</v>
      </c>
      <c r="Q85" s="123">
        <v>0</v>
      </c>
      <c r="R85" s="78" t="s">
        <v>420</v>
      </c>
      <c r="S85" s="64" t="s">
        <v>62</v>
      </c>
      <c r="T85" s="64" t="s">
        <v>62</v>
      </c>
      <c r="U85" s="64" t="s">
        <v>62</v>
      </c>
      <c r="V85" s="11" t="s">
        <v>344</v>
      </c>
      <c r="W85" s="141"/>
      <c r="X85" s="141"/>
      <c r="Y85" s="141"/>
      <c r="Z85" s="135">
        <v>0</v>
      </c>
      <c r="AA85" s="135">
        <v>0</v>
      </c>
      <c r="AB85" s="135">
        <v>100</v>
      </c>
      <c r="AC85" s="144">
        <f>AB85</f>
        <v>100</v>
      </c>
      <c r="AD85" s="119">
        <f t="shared" si="179"/>
        <v>100</v>
      </c>
      <c r="AE85" s="119">
        <f>AC85</f>
        <v>100</v>
      </c>
      <c r="AF85" s="135">
        <v>0</v>
      </c>
      <c r="AG85" s="135">
        <v>0</v>
      </c>
      <c r="AH85" s="135">
        <v>0</v>
      </c>
      <c r="AI85" s="144">
        <f>AH85</f>
        <v>0</v>
      </c>
      <c r="AJ85" s="119">
        <f t="shared" si="180"/>
        <v>100</v>
      </c>
      <c r="AK85" s="119">
        <f>AI85</f>
        <v>0</v>
      </c>
      <c r="AL85" s="119">
        <f t="shared" si="181"/>
        <v>100</v>
      </c>
      <c r="AM85" s="135">
        <f t="shared" si="176"/>
        <v>0</v>
      </c>
      <c r="AN85" s="135"/>
      <c r="AO85" s="135"/>
      <c r="AP85" s="144">
        <f>AO85</f>
        <v>0</v>
      </c>
      <c r="AQ85" s="119">
        <f t="shared" si="182"/>
        <v>100</v>
      </c>
      <c r="AR85" s="119">
        <f>AP85</f>
        <v>0</v>
      </c>
      <c r="AS85" s="119">
        <f t="shared" si="183"/>
        <v>100</v>
      </c>
      <c r="AT85" s="135"/>
      <c r="AU85" s="135"/>
      <c r="AV85" s="135"/>
      <c r="AW85" s="144">
        <f>AV85</f>
        <v>0</v>
      </c>
      <c r="AX85" s="119">
        <f t="shared" si="184"/>
        <v>100</v>
      </c>
      <c r="AY85" s="119">
        <f>AW85</f>
        <v>0</v>
      </c>
      <c r="AZ85" s="119">
        <f t="shared" si="185"/>
        <v>100</v>
      </c>
      <c r="BA85" s="141"/>
    </row>
    <row r="86" spans="1:53" s="2" customFormat="1" ht="36.75" customHeight="1" x14ac:dyDescent="0.2">
      <c r="A86" s="154"/>
      <c r="B86" s="153"/>
      <c r="C86" s="245"/>
      <c r="D86" s="166" t="s">
        <v>99</v>
      </c>
      <c r="E86" s="64">
        <v>79</v>
      </c>
      <c r="F86" s="60" t="s">
        <v>197</v>
      </c>
      <c r="G86" s="64" t="s">
        <v>59</v>
      </c>
      <c r="H86" s="64" t="s">
        <v>60</v>
      </c>
      <c r="I86" s="135">
        <v>94</v>
      </c>
      <c r="J86" s="135">
        <v>23</v>
      </c>
      <c r="K86" s="135">
        <v>24</v>
      </c>
      <c r="L86" s="135">
        <v>23</v>
      </c>
      <c r="M86" s="135">
        <v>24</v>
      </c>
      <c r="N86" s="64" t="s">
        <v>66</v>
      </c>
      <c r="O86" s="64"/>
      <c r="P86" s="64" t="s">
        <v>409</v>
      </c>
      <c r="Q86" s="123">
        <v>94</v>
      </c>
      <c r="R86" s="12" t="s">
        <v>464</v>
      </c>
      <c r="S86" s="64" t="s">
        <v>198</v>
      </c>
      <c r="T86" s="64" t="s">
        <v>198</v>
      </c>
      <c r="U86" s="64" t="s">
        <v>198</v>
      </c>
      <c r="V86" s="11" t="s">
        <v>345</v>
      </c>
      <c r="W86" s="141"/>
      <c r="X86" s="141"/>
      <c r="Y86" s="141"/>
      <c r="Z86" s="135">
        <v>95</v>
      </c>
      <c r="AA86" s="135">
        <v>94</v>
      </c>
      <c r="AB86" s="135">
        <v>94</v>
      </c>
      <c r="AC86" s="8">
        <f t="shared" ref="AC86:AC87" si="190">AVERAGE(Z86:AB86)</f>
        <v>94.333333333333329</v>
      </c>
      <c r="AD86" s="119">
        <f t="shared" si="179"/>
        <v>23</v>
      </c>
      <c r="AE86" s="119">
        <f t="shared" si="167"/>
        <v>23.081560283687942</v>
      </c>
      <c r="AF86" s="135">
        <v>95</v>
      </c>
      <c r="AG86" s="135">
        <v>95</v>
      </c>
      <c r="AH86" s="135">
        <v>95</v>
      </c>
      <c r="AI86" s="8">
        <f t="shared" ref="AI86:AI87" si="191">AVERAGE(AF86:AH86)</f>
        <v>95</v>
      </c>
      <c r="AJ86" s="119">
        <f t="shared" si="180"/>
        <v>47</v>
      </c>
      <c r="AK86" s="119">
        <f t="shared" si="169"/>
        <v>24.25531914893617</v>
      </c>
      <c r="AL86" s="119">
        <f t="shared" si="181"/>
        <v>47.336879432624116</v>
      </c>
      <c r="AM86" s="135">
        <f t="shared" si="176"/>
        <v>94</v>
      </c>
      <c r="AN86" s="135"/>
      <c r="AO86" s="135"/>
      <c r="AP86" s="8">
        <f t="shared" ref="AP86:AP87" si="192">AVERAGE(AM86:AO86)</f>
        <v>94</v>
      </c>
      <c r="AQ86" s="119">
        <f t="shared" si="182"/>
        <v>70</v>
      </c>
      <c r="AR86" s="119">
        <f t="shared" si="171"/>
        <v>23</v>
      </c>
      <c r="AS86" s="119">
        <f t="shared" si="183"/>
        <v>70.336879432624116</v>
      </c>
      <c r="AT86" s="135"/>
      <c r="AU86" s="135"/>
      <c r="AV86" s="135"/>
      <c r="AW86" s="8" t="e">
        <f t="shared" ref="AW86:AW87" si="193">AVERAGE(AT86:AV86)</f>
        <v>#DIV/0!</v>
      </c>
      <c r="AX86" s="119">
        <f t="shared" si="184"/>
        <v>94</v>
      </c>
      <c r="AY86" s="119" t="e">
        <f t="shared" si="173"/>
        <v>#DIV/0!</v>
      </c>
      <c r="AZ86" s="119" t="e">
        <f t="shared" si="185"/>
        <v>#DIV/0!</v>
      </c>
      <c r="BA86" s="141"/>
    </row>
    <row r="87" spans="1:53" s="2" customFormat="1" ht="36.75" customHeight="1" x14ac:dyDescent="0.2">
      <c r="A87" s="154"/>
      <c r="B87" s="153"/>
      <c r="C87" s="246"/>
      <c r="D87" s="166" t="s">
        <v>83</v>
      </c>
      <c r="E87" s="64">
        <v>80</v>
      </c>
      <c r="F87" s="60" t="s">
        <v>199</v>
      </c>
      <c r="G87" s="64" t="s">
        <v>59</v>
      </c>
      <c r="H87" s="64" t="s">
        <v>60</v>
      </c>
      <c r="I87" s="135">
        <v>90</v>
      </c>
      <c r="J87" s="135">
        <v>23</v>
      </c>
      <c r="K87" s="135">
        <v>22</v>
      </c>
      <c r="L87" s="135">
        <v>23</v>
      </c>
      <c r="M87" s="135">
        <v>22</v>
      </c>
      <c r="N87" s="64" t="s">
        <v>66</v>
      </c>
      <c r="O87" s="64"/>
      <c r="P87" s="64" t="s">
        <v>409</v>
      </c>
      <c r="Q87" s="8">
        <v>100</v>
      </c>
      <c r="R87" s="12" t="s">
        <v>346</v>
      </c>
      <c r="S87" s="64" t="s">
        <v>62</v>
      </c>
      <c r="T87" s="64" t="s">
        <v>62</v>
      </c>
      <c r="U87" s="64" t="s">
        <v>62</v>
      </c>
      <c r="V87" s="11" t="s">
        <v>347</v>
      </c>
      <c r="W87" s="141"/>
      <c r="X87" s="141"/>
      <c r="Y87" s="141"/>
      <c r="Z87" s="135">
        <v>100</v>
      </c>
      <c r="AA87" s="135">
        <v>100</v>
      </c>
      <c r="AB87" s="135">
        <v>100</v>
      </c>
      <c r="AC87" s="8">
        <f t="shared" si="190"/>
        <v>100</v>
      </c>
      <c r="AD87" s="119">
        <f t="shared" si="179"/>
        <v>23</v>
      </c>
      <c r="AE87" s="119">
        <f t="shared" si="167"/>
        <v>25.555555555555557</v>
      </c>
      <c r="AF87" s="135">
        <v>100</v>
      </c>
      <c r="AG87" s="135">
        <v>100</v>
      </c>
      <c r="AH87" s="135">
        <v>100</v>
      </c>
      <c r="AI87" s="8">
        <f t="shared" si="191"/>
        <v>100</v>
      </c>
      <c r="AJ87" s="119">
        <f t="shared" si="180"/>
        <v>45</v>
      </c>
      <c r="AK87" s="119">
        <f t="shared" si="169"/>
        <v>24.444444444444443</v>
      </c>
      <c r="AL87" s="119">
        <f t="shared" si="181"/>
        <v>50</v>
      </c>
      <c r="AM87" s="135">
        <f t="shared" si="176"/>
        <v>100</v>
      </c>
      <c r="AN87" s="135"/>
      <c r="AO87" s="135"/>
      <c r="AP87" s="8">
        <f t="shared" si="192"/>
        <v>100</v>
      </c>
      <c r="AQ87" s="119">
        <f t="shared" si="182"/>
        <v>68</v>
      </c>
      <c r="AR87" s="119">
        <f t="shared" si="171"/>
        <v>25.555555555555557</v>
      </c>
      <c r="AS87" s="119">
        <f t="shared" si="183"/>
        <v>75.555555555555557</v>
      </c>
      <c r="AT87" s="135"/>
      <c r="AU87" s="135"/>
      <c r="AV87" s="135"/>
      <c r="AW87" s="8" t="e">
        <f t="shared" si="193"/>
        <v>#DIV/0!</v>
      </c>
      <c r="AX87" s="119">
        <f t="shared" si="184"/>
        <v>90</v>
      </c>
      <c r="AY87" s="119" t="e">
        <f t="shared" si="173"/>
        <v>#DIV/0!</v>
      </c>
      <c r="AZ87" s="119" t="e">
        <f t="shared" si="185"/>
        <v>#DIV/0!</v>
      </c>
      <c r="BA87" s="141"/>
    </row>
    <row r="88" spans="1:53" s="2" customFormat="1" ht="46.5" customHeight="1" x14ac:dyDescent="0.2">
      <c r="A88" s="152"/>
      <c r="B88" s="153"/>
      <c r="C88" s="244" t="s">
        <v>88</v>
      </c>
      <c r="D88" s="166" t="s">
        <v>109</v>
      </c>
      <c r="E88" s="64">
        <v>81</v>
      </c>
      <c r="F88" s="60" t="s">
        <v>200</v>
      </c>
      <c r="G88" s="64" t="s">
        <v>196</v>
      </c>
      <c r="H88" s="64" t="s">
        <v>152</v>
      </c>
      <c r="I88" s="135">
        <v>2</v>
      </c>
      <c r="J88" s="135">
        <v>0</v>
      </c>
      <c r="K88" s="135">
        <v>2</v>
      </c>
      <c r="L88" s="135">
        <v>0</v>
      </c>
      <c r="M88" s="135">
        <v>0</v>
      </c>
      <c r="N88" s="64"/>
      <c r="O88" s="64" t="s">
        <v>66</v>
      </c>
      <c r="P88" s="64" t="s">
        <v>409</v>
      </c>
      <c r="Q88" s="8">
        <v>1</v>
      </c>
      <c r="R88" s="78" t="s">
        <v>456</v>
      </c>
      <c r="S88" s="64" t="s">
        <v>62</v>
      </c>
      <c r="T88" s="64" t="s">
        <v>62</v>
      </c>
      <c r="U88" s="64" t="s">
        <v>62</v>
      </c>
      <c r="V88" s="11" t="s">
        <v>348</v>
      </c>
      <c r="W88" s="141"/>
      <c r="X88" s="141"/>
      <c r="Y88" s="141"/>
      <c r="Z88" s="135">
        <v>0</v>
      </c>
      <c r="AA88" s="135">
        <v>0</v>
      </c>
      <c r="AB88" s="135">
        <v>0</v>
      </c>
      <c r="AC88" s="118">
        <f>SUM(Z88:AB88)</f>
        <v>0</v>
      </c>
      <c r="AD88" s="119">
        <f t="shared" si="179"/>
        <v>0</v>
      </c>
      <c r="AE88" s="120">
        <f>AC88</f>
        <v>0</v>
      </c>
      <c r="AF88" s="135">
        <v>0</v>
      </c>
      <c r="AG88" s="135">
        <v>0</v>
      </c>
      <c r="AH88" s="135">
        <v>1</v>
      </c>
      <c r="AI88" s="118">
        <f>SUM(AF88:AH88)</f>
        <v>1</v>
      </c>
      <c r="AJ88" s="119">
        <f t="shared" si="180"/>
        <v>2</v>
      </c>
      <c r="AK88" s="120">
        <f>AI88</f>
        <v>1</v>
      </c>
      <c r="AL88" s="119">
        <f t="shared" si="181"/>
        <v>1</v>
      </c>
      <c r="AM88" s="135">
        <f t="shared" si="176"/>
        <v>1</v>
      </c>
      <c r="AN88" s="135"/>
      <c r="AO88" s="135"/>
      <c r="AP88" s="118">
        <f>SUM(AM88:AO88)</f>
        <v>1</v>
      </c>
      <c r="AQ88" s="119">
        <f t="shared" si="182"/>
        <v>2</v>
      </c>
      <c r="AR88" s="120">
        <f>AP88</f>
        <v>1</v>
      </c>
      <c r="AS88" s="119">
        <f t="shared" si="183"/>
        <v>2</v>
      </c>
      <c r="AT88" s="135"/>
      <c r="AU88" s="135"/>
      <c r="AV88" s="135"/>
      <c r="AW88" s="118">
        <f>SUM(AT88:AV88)</f>
        <v>0</v>
      </c>
      <c r="AX88" s="119">
        <f t="shared" si="184"/>
        <v>2</v>
      </c>
      <c r="AY88" s="120">
        <f>AW88</f>
        <v>0</v>
      </c>
      <c r="AZ88" s="119">
        <f t="shared" si="185"/>
        <v>2</v>
      </c>
      <c r="BA88" s="141"/>
    </row>
    <row r="89" spans="1:53" s="2" customFormat="1" ht="36.75" customHeight="1" x14ac:dyDescent="0.2">
      <c r="A89" s="154"/>
      <c r="B89" s="153"/>
      <c r="C89" s="245"/>
      <c r="D89" s="247" t="s">
        <v>114</v>
      </c>
      <c r="E89" s="64">
        <v>82</v>
      </c>
      <c r="F89" s="60" t="s">
        <v>201</v>
      </c>
      <c r="G89" s="64" t="s">
        <v>59</v>
      </c>
      <c r="H89" s="64" t="s">
        <v>60</v>
      </c>
      <c r="I89" s="135">
        <v>100</v>
      </c>
      <c r="J89" s="135">
        <v>25</v>
      </c>
      <c r="K89" s="135">
        <v>25</v>
      </c>
      <c r="L89" s="135">
        <v>25</v>
      </c>
      <c r="M89" s="135">
        <v>25</v>
      </c>
      <c r="N89" s="64"/>
      <c r="O89" s="64" t="s">
        <v>66</v>
      </c>
      <c r="P89" s="64" t="s">
        <v>409</v>
      </c>
      <c r="Q89" s="8">
        <v>142</v>
      </c>
      <c r="R89" s="60" t="s">
        <v>455</v>
      </c>
      <c r="S89" s="64" t="s">
        <v>62</v>
      </c>
      <c r="T89" s="64" t="s">
        <v>62</v>
      </c>
      <c r="U89" s="64" t="s">
        <v>62</v>
      </c>
      <c r="V89" s="11" t="s">
        <v>349</v>
      </c>
      <c r="W89" s="113"/>
      <c r="X89" s="121"/>
      <c r="Y89" s="141"/>
      <c r="Z89" s="135">
        <v>201.33</v>
      </c>
      <c r="AA89" s="135">
        <v>152.16999999999999</v>
      </c>
      <c r="AB89" s="135">
        <v>259.83</v>
      </c>
      <c r="AC89" s="8">
        <f t="shared" ref="AC89:AC103" si="194">AVERAGE(Z89:AB89)</f>
        <v>204.4433333333333</v>
      </c>
      <c r="AD89" s="119">
        <f t="shared" si="179"/>
        <v>25</v>
      </c>
      <c r="AE89" s="119">
        <f t="shared" ref="AE89:AE103" si="195">(J89*AC89)/I89</f>
        <v>51.110833333333318</v>
      </c>
      <c r="AF89" s="135">
        <v>273.33</v>
      </c>
      <c r="AG89" s="135">
        <v>197.67</v>
      </c>
      <c r="AH89" s="135">
        <v>198.33</v>
      </c>
      <c r="AI89" s="8">
        <f t="shared" ref="AI89:AI103" si="196">AVERAGE(AF89:AH89)</f>
        <v>223.11</v>
      </c>
      <c r="AJ89" s="119">
        <f t="shared" si="180"/>
        <v>50</v>
      </c>
      <c r="AK89" s="119">
        <f t="shared" ref="AK89:AK103" si="197">(K89*AI89)/I89</f>
        <v>55.777500000000003</v>
      </c>
      <c r="AL89" s="119">
        <f t="shared" si="181"/>
        <v>106.88833333333332</v>
      </c>
      <c r="AM89" s="135">
        <f t="shared" si="176"/>
        <v>142</v>
      </c>
      <c r="AN89" s="135"/>
      <c r="AO89" s="135"/>
      <c r="AP89" s="8">
        <f t="shared" ref="AP89:AP103" si="198">AVERAGE(AM89:AO89)</f>
        <v>142</v>
      </c>
      <c r="AQ89" s="119">
        <f t="shared" si="182"/>
        <v>75</v>
      </c>
      <c r="AR89" s="119">
        <f t="shared" ref="AR89:AR103" si="199">(L89*AP89)/I89</f>
        <v>35.5</v>
      </c>
      <c r="AS89" s="119">
        <f t="shared" si="183"/>
        <v>142.38833333333332</v>
      </c>
      <c r="AT89" s="135"/>
      <c r="AU89" s="135"/>
      <c r="AV89" s="135"/>
      <c r="AW89" s="8" t="e">
        <f t="shared" ref="AW89:AW103" si="200">AVERAGE(AT89:AV89)</f>
        <v>#DIV/0!</v>
      </c>
      <c r="AX89" s="119">
        <f t="shared" si="184"/>
        <v>100</v>
      </c>
      <c r="AY89" s="119" t="e">
        <f t="shared" ref="AY89:AY103" si="201">(M89*AW89)/I89</f>
        <v>#DIV/0!</v>
      </c>
      <c r="AZ89" s="119" t="e">
        <f t="shared" si="185"/>
        <v>#DIV/0!</v>
      </c>
      <c r="BA89" s="141"/>
    </row>
    <row r="90" spans="1:53" s="2" customFormat="1" ht="36.75" customHeight="1" x14ac:dyDescent="0.2">
      <c r="A90" s="154"/>
      <c r="B90" s="153"/>
      <c r="C90" s="245"/>
      <c r="D90" s="249"/>
      <c r="E90" s="64">
        <v>83</v>
      </c>
      <c r="F90" s="60" t="s">
        <v>202</v>
      </c>
      <c r="G90" s="64" t="s">
        <v>59</v>
      </c>
      <c r="H90" s="64" t="s">
        <v>60</v>
      </c>
      <c r="I90" s="135">
        <v>100</v>
      </c>
      <c r="J90" s="135">
        <v>25</v>
      </c>
      <c r="K90" s="135">
        <v>25</v>
      </c>
      <c r="L90" s="135">
        <v>25</v>
      </c>
      <c r="M90" s="135">
        <v>25</v>
      </c>
      <c r="N90" s="64"/>
      <c r="O90" s="64" t="s">
        <v>66</v>
      </c>
      <c r="P90" s="64" t="s">
        <v>409</v>
      </c>
      <c r="Q90" s="8">
        <v>100</v>
      </c>
      <c r="R90" s="60" t="s">
        <v>350</v>
      </c>
      <c r="S90" s="64" t="s">
        <v>62</v>
      </c>
      <c r="T90" s="64" t="s">
        <v>62</v>
      </c>
      <c r="U90" s="64" t="s">
        <v>62</v>
      </c>
      <c r="V90" s="11" t="s">
        <v>349</v>
      </c>
      <c r="W90" s="113"/>
      <c r="X90" s="121"/>
      <c r="Y90" s="141"/>
      <c r="Z90" s="135">
        <v>100</v>
      </c>
      <c r="AA90" s="135">
        <v>100</v>
      </c>
      <c r="AB90" s="135">
        <v>100</v>
      </c>
      <c r="AC90" s="8">
        <f t="shared" ref="AC90" si="202">AVERAGE(Z90:AB90)</f>
        <v>100</v>
      </c>
      <c r="AD90" s="119">
        <f t="shared" ref="AD90" si="203">J90</f>
        <v>25</v>
      </c>
      <c r="AE90" s="119">
        <f t="shared" ref="AE90" si="204">(J90*AC90)/I90</f>
        <v>25</v>
      </c>
      <c r="AF90" s="135">
        <v>100</v>
      </c>
      <c r="AG90" s="135">
        <v>100</v>
      </c>
      <c r="AH90" s="135">
        <v>100</v>
      </c>
      <c r="AI90" s="8">
        <f t="shared" ref="AI90" si="205">AVERAGE(AF90:AH90)</f>
        <v>100</v>
      </c>
      <c r="AJ90" s="119">
        <f t="shared" ref="AJ90" si="206">J90+K90</f>
        <v>50</v>
      </c>
      <c r="AK90" s="119">
        <f t="shared" ref="AK90" si="207">(K90*AI90)/I90</f>
        <v>25</v>
      </c>
      <c r="AL90" s="119">
        <f t="shared" ref="AL90" si="208">AE90+AK90</f>
        <v>50</v>
      </c>
      <c r="AM90" s="135">
        <f t="shared" si="176"/>
        <v>100</v>
      </c>
      <c r="AN90" s="135"/>
      <c r="AO90" s="135"/>
      <c r="AP90" s="8">
        <f t="shared" ref="AP90" si="209">AVERAGE(AM90:AO90)</f>
        <v>100</v>
      </c>
      <c r="AQ90" s="119">
        <f t="shared" ref="AQ90" si="210">J90+K90+L90</f>
        <v>75</v>
      </c>
      <c r="AR90" s="119">
        <f t="shared" ref="AR90" si="211">(L90*AP90)/I90</f>
        <v>25</v>
      </c>
      <c r="AS90" s="119">
        <f t="shared" ref="AS90" si="212">AE90+AK90+AR90</f>
        <v>75</v>
      </c>
      <c r="AT90" s="135"/>
      <c r="AU90" s="135"/>
      <c r="AV90" s="135"/>
      <c r="AW90" s="8" t="e">
        <f t="shared" ref="AW90" si="213">AVERAGE(AT90:AV90)</f>
        <v>#DIV/0!</v>
      </c>
      <c r="AX90" s="119">
        <f t="shared" ref="AX90" si="214">J90+K90+L90+M90</f>
        <v>100</v>
      </c>
      <c r="AY90" s="119" t="e">
        <f t="shared" ref="AY90" si="215">(M90*AW90)/I90</f>
        <v>#DIV/0!</v>
      </c>
      <c r="AZ90" s="119" t="e">
        <f t="shared" ref="AZ90" si="216">AE90+AK90+AR90+AY90</f>
        <v>#DIV/0!</v>
      </c>
      <c r="BA90" s="141"/>
    </row>
    <row r="91" spans="1:53" s="2" customFormat="1" ht="36.75" customHeight="1" x14ac:dyDescent="0.2">
      <c r="A91" s="152"/>
      <c r="B91" s="153"/>
      <c r="C91" s="245"/>
      <c r="D91" s="173" t="s">
        <v>116</v>
      </c>
      <c r="E91" s="64">
        <v>84</v>
      </c>
      <c r="F91" s="60" t="s">
        <v>203</v>
      </c>
      <c r="G91" s="64" t="s">
        <v>59</v>
      </c>
      <c r="H91" s="64" t="s">
        <v>60</v>
      </c>
      <c r="I91" s="135">
        <v>100</v>
      </c>
      <c r="J91" s="135">
        <v>25</v>
      </c>
      <c r="K91" s="135">
        <v>25</v>
      </c>
      <c r="L91" s="135">
        <v>25</v>
      </c>
      <c r="M91" s="135">
        <v>25</v>
      </c>
      <c r="N91" s="64"/>
      <c r="O91" s="64" t="s">
        <v>66</v>
      </c>
      <c r="P91" s="64" t="s">
        <v>409</v>
      </c>
      <c r="Q91" s="8">
        <v>103.22</v>
      </c>
      <c r="R91" s="12" t="s">
        <v>351</v>
      </c>
      <c r="S91" s="64" t="s">
        <v>62</v>
      </c>
      <c r="T91" s="64" t="s">
        <v>62</v>
      </c>
      <c r="U91" s="64" t="s">
        <v>62</v>
      </c>
      <c r="V91" s="11" t="s">
        <v>352</v>
      </c>
      <c r="W91" s="124"/>
      <c r="X91" s="121"/>
      <c r="Y91" s="141"/>
      <c r="Z91" s="135">
        <v>177</v>
      </c>
      <c r="AA91" s="135">
        <v>175</v>
      </c>
      <c r="AB91" s="135">
        <v>172</v>
      </c>
      <c r="AC91" s="8">
        <f t="shared" si="194"/>
        <v>174.66666666666666</v>
      </c>
      <c r="AD91" s="119">
        <f t="shared" si="179"/>
        <v>25</v>
      </c>
      <c r="AE91" s="119">
        <f t="shared" si="195"/>
        <v>43.666666666666657</v>
      </c>
      <c r="AF91" s="135">
        <v>236</v>
      </c>
      <c r="AG91" s="135">
        <v>106.44</v>
      </c>
      <c r="AH91" s="135">
        <v>140.22</v>
      </c>
      <c r="AI91" s="8">
        <f t="shared" si="196"/>
        <v>160.88666666666666</v>
      </c>
      <c r="AJ91" s="119">
        <f t="shared" si="180"/>
        <v>50</v>
      </c>
      <c r="AK91" s="119">
        <f t="shared" si="197"/>
        <v>40.221666666666664</v>
      </c>
      <c r="AL91" s="119">
        <f t="shared" si="181"/>
        <v>83.888333333333321</v>
      </c>
      <c r="AM91" s="135">
        <f t="shared" si="176"/>
        <v>103.22</v>
      </c>
      <c r="AN91" s="135"/>
      <c r="AO91" s="135"/>
      <c r="AP91" s="8">
        <f t="shared" si="198"/>
        <v>103.22</v>
      </c>
      <c r="AQ91" s="119">
        <f t="shared" si="182"/>
        <v>75</v>
      </c>
      <c r="AR91" s="119">
        <f t="shared" si="199"/>
        <v>25.805</v>
      </c>
      <c r="AS91" s="119">
        <f t="shared" si="183"/>
        <v>109.69333333333333</v>
      </c>
      <c r="AT91" s="135"/>
      <c r="AU91" s="135"/>
      <c r="AV91" s="135"/>
      <c r="AW91" s="8" t="e">
        <f t="shared" si="200"/>
        <v>#DIV/0!</v>
      </c>
      <c r="AX91" s="119">
        <f t="shared" si="184"/>
        <v>100</v>
      </c>
      <c r="AY91" s="119" t="e">
        <f t="shared" si="201"/>
        <v>#DIV/0!</v>
      </c>
      <c r="AZ91" s="119" t="e">
        <f t="shared" si="185"/>
        <v>#DIV/0!</v>
      </c>
      <c r="BA91" s="141"/>
    </row>
    <row r="92" spans="1:53" s="2" customFormat="1" ht="69.75" customHeight="1" x14ac:dyDescent="0.2">
      <c r="A92" s="153"/>
      <c r="B92" s="152"/>
      <c r="C92" s="245"/>
      <c r="D92" s="173" t="s">
        <v>205</v>
      </c>
      <c r="E92" s="64">
        <v>85</v>
      </c>
      <c r="F92" s="60" t="s">
        <v>206</v>
      </c>
      <c r="G92" s="64" t="s">
        <v>65</v>
      </c>
      <c r="H92" s="64" t="s">
        <v>60</v>
      </c>
      <c r="I92" s="135">
        <v>100</v>
      </c>
      <c r="J92" s="135">
        <v>25</v>
      </c>
      <c r="K92" s="135">
        <v>25</v>
      </c>
      <c r="L92" s="135">
        <v>25</v>
      </c>
      <c r="M92" s="135">
        <v>25</v>
      </c>
      <c r="N92" s="64" t="s">
        <v>66</v>
      </c>
      <c r="O92" s="64"/>
      <c r="P92" s="64" t="s">
        <v>410</v>
      </c>
      <c r="Q92" s="8">
        <v>94</v>
      </c>
      <c r="R92" s="78" t="s">
        <v>465</v>
      </c>
      <c r="S92" s="64" t="s">
        <v>62</v>
      </c>
      <c r="T92" s="225" t="s">
        <v>432</v>
      </c>
      <c r="U92" s="64" t="s">
        <v>62</v>
      </c>
      <c r="V92" s="11" t="s">
        <v>353</v>
      </c>
      <c r="W92" s="122" t="s">
        <v>434</v>
      </c>
      <c r="X92" s="141"/>
      <c r="Y92" s="141"/>
      <c r="Z92" s="135">
        <v>92</v>
      </c>
      <c r="AA92" s="135">
        <v>92</v>
      </c>
      <c r="AB92" s="135">
        <v>77</v>
      </c>
      <c r="AC92" s="8">
        <f t="shared" si="194"/>
        <v>87</v>
      </c>
      <c r="AD92" s="119">
        <f t="shared" si="179"/>
        <v>25</v>
      </c>
      <c r="AE92" s="119">
        <f t="shared" si="195"/>
        <v>21.75</v>
      </c>
      <c r="AF92" s="135">
        <v>85</v>
      </c>
      <c r="AG92" s="135">
        <v>77</v>
      </c>
      <c r="AH92" s="135">
        <v>85</v>
      </c>
      <c r="AI92" s="8">
        <f t="shared" si="196"/>
        <v>82.333333333333329</v>
      </c>
      <c r="AJ92" s="119">
        <f t="shared" si="180"/>
        <v>50</v>
      </c>
      <c r="AK92" s="119">
        <f t="shared" si="197"/>
        <v>20.583333333333329</v>
      </c>
      <c r="AL92" s="119">
        <f t="shared" si="181"/>
        <v>42.333333333333329</v>
      </c>
      <c r="AM92" s="135">
        <f t="shared" si="176"/>
        <v>94</v>
      </c>
      <c r="AN92" s="135"/>
      <c r="AO92" s="135"/>
      <c r="AP92" s="8">
        <f t="shared" si="198"/>
        <v>94</v>
      </c>
      <c r="AQ92" s="119">
        <f t="shared" si="182"/>
        <v>75</v>
      </c>
      <c r="AR92" s="119">
        <f t="shared" si="199"/>
        <v>23.5</v>
      </c>
      <c r="AS92" s="119">
        <f t="shared" si="183"/>
        <v>65.833333333333329</v>
      </c>
      <c r="AT92" s="135"/>
      <c r="AU92" s="135"/>
      <c r="AV92" s="135"/>
      <c r="AW92" s="8" t="e">
        <f t="shared" si="200"/>
        <v>#DIV/0!</v>
      </c>
      <c r="AX92" s="119">
        <f t="shared" si="184"/>
        <v>100</v>
      </c>
      <c r="AY92" s="119" t="e">
        <f t="shared" si="201"/>
        <v>#DIV/0!</v>
      </c>
      <c r="AZ92" s="119" t="e">
        <f t="shared" si="185"/>
        <v>#DIV/0!</v>
      </c>
      <c r="BA92" s="141"/>
    </row>
    <row r="93" spans="1:53" s="2" customFormat="1" ht="39.75" customHeight="1" x14ac:dyDescent="0.2">
      <c r="A93" s="140"/>
      <c r="B93" s="153"/>
      <c r="C93" s="246"/>
      <c r="D93" s="200" t="s">
        <v>207</v>
      </c>
      <c r="E93" s="64">
        <v>86</v>
      </c>
      <c r="F93" s="60" t="s">
        <v>208</v>
      </c>
      <c r="G93" s="64" t="s">
        <v>65</v>
      </c>
      <c r="H93" s="64" t="s">
        <v>60</v>
      </c>
      <c r="I93" s="135">
        <v>100</v>
      </c>
      <c r="J93" s="135">
        <v>25</v>
      </c>
      <c r="K93" s="135">
        <v>25</v>
      </c>
      <c r="L93" s="135">
        <v>25</v>
      </c>
      <c r="M93" s="135">
        <v>25</v>
      </c>
      <c r="N93" s="64" t="s">
        <v>66</v>
      </c>
      <c r="O93" s="64"/>
      <c r="P93" s="64" t="s">
        <v>409</v>
      </c>
      <c r="Q93" s="8">
        <v>100</v>
      </c>
      <c r="R93" s="78" t="s">
        <v>414</v>
      </c>
      <c r="S93" s="64" t="s">
        <v>62</v>
      </c>
      <c r="T93" s="64" t="s">
        <v>62</v>
      </c>
      <c r="U93" s="64" t="s">
        <v>62</v>
      </c>
      <c r="V93" s="11" t="s">
        <v>356</v>
      </c>
      <c r="W93" s="141"/>
      <c r="X93" s="141"/>
      <c r="Y93" s="141"/>
      <c r="Z93" s="135">
        <v>100</v>
      </c>
      <c r="AA93" s="135">
        <v>100</v>
      </c>
      <c r="AB93" s="135">
        <v>100</v>
      </c>
      <c r="AC93" s="8">
        <f t="shared" si="194"/>
        <v>100</v>
      </c>
      <c r="AD93" s="119">
        <f t="shared" si="179"/>
        <v>25</v>
      </c>
      <c r="AE93" s="119">
        <f t="shared" si="195"/>
        <v>25</v>
      </c>
      <c r="AF93" s="135">
        <v>100</v>
      </c>
      <c r="AG93" s="135">
        <v>100</v>
      </c>
      <c r="AH93" s="135">
        <v>100</v>
      </c>
      <c r="AI93" s="8">
        <f t="shared" si="196"/>
        <v>100</v>
      </c>
      <c r="AJ93" s="119">
        <f t="shared" si="180"/>
        <v>50</v>
      </c>
      <c r="AK93" s="119">
        <f t="shared" si="197"/>
        <v>25</v>
      </c>
      <c r="AL93" s="119">
        <f t="shared" si="181"/>
        <v>50</v>
      </c>
      <c r="AM93" s="135">
        <f t="shared" si="176"/>
        <v>100</v>
      </c>
      <c r="AN93" s="135"/>
      <c r="AO93" s="135"/>
      <c r="AP93" s="8">
        <f t="shared" si="198"/>
        <v>100</v>
      </c>
      <c r="AQ93" s="119">
        <f t="shared" si="182"/>
        <v>75</v>
      </c>
      <c r="AR93" s="119">
        <f t="shared" si="199"/>
        <v>25</v>
      </c>
      <c r="AS93" s="119">
        <f t="shared" si="183"/>
        <v>75</v>
      </c>
      <c r="AT93" s="135"/>
      <c r="AU93" s="135"/>
      <c r="AV93" s="135"/>
      <c r="AW93" s="8" t="e">
        <f t="shared" si="200"/>
        <v>#DIV/0!</v>
      </c>
      <c r="AX93" s="119">
        <f t="shared" si="184"/>
        <v>100</v>
      </c>
      <c r="AY93" s="119" t="e">
        <f t="shared" si="201"/>
        <v>#DIV/0!</v>
      </c>
      <c r="AZ93" s="119" t="e">
        <f t="shared" si="185"/>
        <v>#DIV/0!</v>
      </c>
      <c r="BA93" s="141"/>
    </row>
    <row r="94" spans="1:53" s="2" customFormat="1" ht="41.25" customHeight="1" x14ac:dyDescent="0.2">
      <c r="A94" s="42">
        <v>7</v>
      </c>
      <c r="B94" s="4" t="s">
        <v>204</v>
      </c>
      <c r="C94" s="260" t="s">
        <v>88</v>
      </c>
      <c r="D94" s="201" t="s">
        <v>209</v>
      </c>
      <c r="E94" s="64">
        <v>87</v>
      </c>
      <c r="F94" s="60" t="s">
        <v>210</v>
      </c>
      <c r="G94" s="64" t="s">
        <v>59</v>
      </c>
      <c r="H94" s="64" t="s">
        <v>60</v>
      </c>
      <c r="I94" s="135">
        <v>100</v>
      </c>
      <c r="J94" s="135">
        <v>25</v>
      </c>
      <c r="K94" s="135">
        <v>25</v>
      </c>
      <c r="L94" s="135">
        <v>25</v>
      </c>
      <c r="M94" s="135">
        <v>25</v>
      </c>
      <c r="N94" s="64" t="s">
        <v>66</v>
      </c>
      <c r="O94" s="64"/>
      <c r="P94" s="64" t="s">
        <v>409</v>
      </c>
      <c r="Q94" s="8">
        <v>100</v>
      </c>
      <c r="R94" s="78" t="s">
        <v>354</v>
      </c>
      <c r="S94" s="64" t="s">
        <v>62</v>
      </c>
      <c r="T94" s="64" t="s">
        <v>62</v>
      </c>
      <c r="U94" s="64" t="s">
        <v>62</v>
      </c>
      <c r="V94" s="11" t="s">
        <v>415</v>
      </c>
      <c r="W94" s="141"/>
      <c r="X94" s="141"/>
      <c r="Y94" s="141"/>
      <c r="Z94" s="135">
        <v>100</v>
      </c>
      <c r="AA94" s="135">
        <v>100</v>
      </c>
      <c r="AB94" s="135">
        <v>100</v>
      </c>
      <c r="AC94" s="8">
        <f t="shared" si="194"/>
        <v>100</v>
      </c>
      <c r="AD94" s="119">
        <f t="shared" si="179"/>
        <v>25</v>
      </c>
      <c r="AE94" s="119">
        <f t="shared" si="195"/>
        <v>25</v>
      </c>
      <c r="AF94" s="135">
        <v>100</v>
      </c>
      <c r="AG94" s="135">
        <v>100</v>
      </c>
      <c r="AH94" s="135">
        <v>100</v>
      </c>
      <c r="AI94" s="8">
        <f t="shared" si="196"/>
        <v>100</v>
      </c>
      <c r="AJ94" s="119">
        <f t="shared" si="180"/>
        <v>50</v>
      </c>
      <c r="AK94" s="119">
        <f t="shared" si="197"/>
        <v>25</v>
      </c>
      <c r="AL94" s="119">
        <f t="shared" si="181"/>
        <v>50</v>
      </c>
      <c r="AM94" s="135">
        <f t="shared" si="176"/>
        <v>100</v>
      </c>
      <c r="AN94" s="135"/>
      <c r="AO94" s="135"/>
      <c r="AP94" s="8">
        <f t="shared" si="198"/>
        <v>100</v>
      </c>
      <c r="AQ94" s="119">
        <f t="shared" si="182"/>
        <v>75</v>
      </c>
      <c r="AR94" s="119">
        <f t="shared" si="199"/>
        <v>25</v>
      </c>
      <c r="AS94" s="119">
        <f t="shared" si="183"/>
        <v>75</v>
      </c>
      <c r="AT94" s="135"/>
      <c r="AU94" s="135"/>
      <c r="AV94" s="135"/>
      <c r="AW94" s="8" t="e">
        <f t="shared" si="200"/>
        <v>#DIV/0!</v>
      </c>
      <c r="AX94" s="119">
        <f t="shared" si="184"/>
        <v>100</v>
      </c>
      <c r="AY94" s="119" t="e">
        <f t="shared" si="201"/>
        <v>#DIV/0!</v>
      </c>
      <c r="AZ94" s="119" t="e">
        <f t="shared" si="185"/>
        <v>#DIV/0!</v>
      </c>
      <c r="BA94" s="141"/>
    </row>
    <row r="95" spans="1:53" s="1" customFormat="1" ht="45.75" customHeight="1" x14ac:dyDescent="0.2">
      <c r="A95" s="105"/>
      <c r="B95" s="36"/>
      <c r="C95" s="261"/>
      <c r="D95" s="263" t="s">
        <v>204</v>
      </c>
      <c r="E95" s="64">
        <v>88</v>
      </c>
      <c r="F95" s="11" t="s">
        <v>211</v>
      </c>
      <c r="G95" s="202" t="s">
        <v>59</v>
      </c>
      <c r="H95" s="202" t="s">
        <v>60</v>
      </c>
      <c r="I95" s="135">
        <v>100</v>
      </c>
      <c r="J95" s="135">
        <v>25</v>
      </c>
      <c r="K95" s="135">
        <v>25</v>
      </c>
      <c r="L95" s="135">
        <v>25</v>
      </c>
      <c r="M95" s="135">
        <v>25</v>
      </c>
      <c r="N95" s="64" t="s">
        <v>66</v>
      </c>
      <c r="O95" s="61"/>
      <c r="P95" s="64" t="s">
        <v>409</v>
      </c>
      <c r="Q95" s="8">
        <v>100</v>
      </c>
      <c r="R95" s="12" t="s">
        <v>355</v>
      </c>
      <c r="S95" s="64" t="s">
        <v>62</v>
      </c>
      <c r="T95" s="64" t="s">
        <v>62</v>
      </c>
      <c r="U95" s="64" t="s">
        <v>62</v>
      </c>
      <c r="V95" s="11" t="s">
        <v>426</v>
      </c>
      <c r="W95" s="124"/>
      <c r="X95" s="124"/>
      <c r="Y95" s="124"/>
      <c r="Z95" s="135">
        <v>100</v>
      </c>
      <c r="AA95" s="135">
        <v>100</v>
      </c>
      <c r="AB95" s="135">
        <v>100</v>
      </c>
      <c r="AC95" s="8">
        <f t="shared" si="194"/>
        <v>100</v>
      </c>
      <c r="AD95" s="119">
        <f t="shared" si="179"/>
        <v>25</v>
      </c>
      <c r="AE95" s="119">
        <f t="shared" si="195"/>
        <v>25</v>
      </c>
      <c r="AF95" s="135">
        <v>100</v>
      </c>
      <c r="AG95" s="135">
        <v>100</v>
      </c>
      <c r="AH95" s="135">
        <v>100</v>
      </c>
      <c r="AI95" s="8">
        <f t="shared" si="196"/>
        <v>100</v>
      </c>
      <c r="AJ95" s="119">
        <f t="shared" si="180"/>
        <v>50</v>
      </c>
      <c r="AK95" s="119">
        <f t="shared" si="197"/>
        <v>25</v>
      </c>
      <c r="AL95" s="119">
        <f t="shared" si="181"/>
        <v>50</v>
      </c>
      <c r="AM95" s="135">
        <f t="shared" si="176"/>
        <v>100</v>
      </c>
      <c r="AN95" s="135"/>
      <c r="AO95" s="135"/>
      <c r="AP95" s="8">
        <f t="shared" si="198"/>
        <v>100</v>
      </c>
      <c r="AQ95" s="119">
        <f t="shared" si="182"/>
        <v>75</v>
      </c>
      <c r="AR95" s="119">
        <f t="shared" si="199"/>
        <v>25</v>
      </c>
      <c r="AS95" s="119">
        <f t="shared" si="183"/>
        <v>75</v>
      </c>
      <c r="AT95" s="135"/>
      <c r="AU95" s="135"/>
      <c r="AV95" s="135"/>
      <c r="AW95" s="8" t="e">
        <f t="shared" si="200"/>
        <v>#DIV/0!</v>
      </c>
      <c r="AX95" s="119">
        <f t="shared" si="184"/>
        <v>100</v>
      </c>
      <c r="AY95" s="119" t="e">
        <f t="shared" si="201"/>
        <v>#DIV/0!</v>
      </c>
      <c r="AZ95" s="119" t="e">
        <f t="shared" si="185"/>
        <v>#DIV/0!</v>
      </c>
      <c r="BA95" s="124"/>
    </row>
    <row r="96" spans="1:53" s="1" customFormat="1" ht="39.75" customHeight="1" x14ac:dyDescent="0.2">
      <c r="A96" s="34"/>
      <c r="B96" s="155"/>
      <c r="C96" s="261"/>
      <c r="D96" s="264"/>
      <c r="E96" s="64">
        <v>89</v>
      </c>
      <c r="F96" s="60" t="s">
        <v>212</v>
      </c>
      <c r="G96" s="64" t="s">
        <v>59</v>
      </c>
      <c r="H96" s="64" t="s">
        <v>60</v>
      </c>
      <c r="I96" s="135">
        <v>100</v>
      </c>
      <c r="J96" s="135">
        <v>25</v>
      </c>
      <c r="K96" s="135">
        <v>25</v>
      </c>
      <c r="L96" s="135">
        <v>25</v>
      </c>
      <c r="M96" s="135">
        <v>25</v>
      </c>
      <c r="N96" s="64" t="s">
        <v>66</v>
      </c>
      <c r="O96" s="64"/>
      <c r="P96" s="64" t="s">
        <v>409</v>
      </c>
      <c r="Q96" s="8">
        <v>100</v>
      </c>
      <c r="R96" s="12" t="s">
        <v>357</v>
      </c>
      <c r="S96" s="64" t="s">
        <v>62</v>
      </c>
      <c r="T96" s="64" t="s">
        <v>62</v>
      </c>
      <c r="U96" s="64" t="s">
        <v>62</v>
      </c>
      <c r="V96" s="11" t="s">
        <v>426</v>
      </c>
      <c r="W96" s="124"/>
      <c r="X96" s="124"/>
      <c r="Y96" s="124"/>
      <c r="Z96" s="135">
        <v>100</v>
      </c>
      <c r="AA96" s="135">
        <v>100</v>
      </c>
      <c r="AB96" s="135">
        <v>100</v>
      </c>
      <c r="AC96" s="8">
        <f t="shared" si="194"/>
        <v>100</v>
      </c>
      <c r="AD96" s="119">
        <f t="shared" si="179"/>
        <v>25</v>
      </c>
      <c r="AE96" s="119">
        <f t="shared" si="195"/>
        <v>25</v>
      </c>
      <c r="AF96" s="135">
        <v>100</v>
      </c>
      <c r="AG96" s="135">
        <v>100</v>
      </c>
      <c r="AH96" s="135">
        <v>100</v>
      </c>
      <c r="AI96" s="8">
        <f t="shared" si="196"/>
        <v>100</v>
      </c>
      <c r="AJ96" s="119">
        <f t="shared" si="180"/>
        <v>50</v>
      </c>
      <c r="AK96" s="119">
        <f t="shared" si="197"/>
        <v>25</v>
      </c>
      <c r="AL96" s="119">
        <f t="shared" si="181"/>
        <v>50</v>
      </c>
      <c r="AM96" s="135">
        <f t="shared" si="176"/>
        <v>100</v>
      </c>
      <c r="AN96" s="135"/>
      <c r="AO96" s="135"/>
      <c r="AP96" s="8">
        <f t="shared" si="198"/>
        <v>100</v>
      </c>
      <c r="AQ96" s="119">
        <f t="shared" si="182"/>
        <v>75</v>
      </c>
      <c r="AR96" s="119">
        <f t="shared" si="199"/>
        <v>25</v>
      </c>
      <c r="AS96" s="119">
        <f t="shared" si="183"/>
        <v>75</v>
      </c>
      <c r="AT96" s="135"/>
      <c r="AU96" s="135"/>
      <c r="AV96" s="135"/>
      <c r="AW96" s="8" t="e">
        <f t="shared" si="200"/>
        <v>#DIV/0!</v>
      </c>
      <c r="AX96" s="119">
        <f t="shared" si="184"/>
        <v>100</v>
      </c>
      <c r="AY96" s="119" t="e">
        <f t="shared" si="201"/>
        <v>#DIV/0!</v>
      </c>
      <c r="AZ96" s="119" t="e">
        <f t="shared" si="185"/>
        <v>#DIV/0!</v>
      </c>
      <c r="BA96" s="124"/>
    </row>
    <row r="97" spans="1:53" s="1" customFormat="1" ht="34.5" customHeight="1" x14ac:dyDescent="0.2">
      <c r="A97" s="34"/>
      <c r="B97" s="155"/>
      <c r="C97" s="261"/>
      <c r="D97" s="264"/>
      <c r="E97" s="64">
        <v>90</v>
      </c>
      <c r="F97" s="60" t="s">
        <v>213</v>
      </c>
      <c r="G97" s="64" t="s">
        <v>59</v>
      </c>
      <c r="H97" s="64" t="s">
        <v>60</v>
      </c>
      <c r="I97" s="135">
        <v>100</v>
      </c>
      <c r="J97" s="135">
        <v>25</v>
      </c>
      <c r="K97" s="135">
        <v>25</v>
      </c>
      <c r="L97" s="135">
        <v>25</v>
      </c>
      <c r="M97" s="135">
        <v>25</v>
      </c>
      <c r="N97" s="64" t="s">
        <v>66</v>
      </c>
      <c r="O97" s="64"/>
      <c r="P97" s="64" t="s">
        <v>409</v>
      </c>
      <c r="Q97" s="8">
        <v>100</v>
      </c>
      <c r="R97" s="12" t="s">
        <v>358</v>
      </c>
      <c r="S97" s="64" t="s">
        <v>62</v>
      </c>
      <c r="T97" s="64" t="s">
        <v>62</v>
      </c>
      <c r="U97" s="64" t="s">
        <v>62</v>
      </c>
      <c r="V97" s="11" t="s">
        <v>426</v>
      </c>
      <c r="W97" s="124"/>
      <c r="X97" s="124"/>
      <c r="Y97" s="124"/>
      <c r="Z97" s="135">
        <v>100</v>
      </c>
      <c r="AA97" s="135">
        <v>100</v>
      </c>
      <c r="AB97" s="135">
        <v>100</v>
      </c>
      <c r="AC97" s="8">
        <f t="shared" si="194"/>
        <v>100</v>
      </c>
      <c r="AD97" s="119">
        <f t="shared" si="179"/>
        <v>25</v>
      </c>
      <c r="AE97" s="119">
        <f t="shared" si="195"/>
        <v>25</v>
      </c>
      <c r="AF97" s="135">
        <v>100</v>
      </c>
      <c r="AG97" s="135">
        <v>100</v>
      </c>
      <c r="AH97" s="135">
        <v>100</v>
      </c>
      <c r="AI97" s="8">
        <f t="shared" si="196"/>
        <v>100</v>
      </c>
      <c r="AJ97" s="119">
        <f t="shared" si="180"/>
        <v>50</v>
      </c>
      <c r="AK97" s="119">
        <f t="shared" si="197"/>
        <v>25</v>
      </c>
      <c r="AL97" s="119">
        <f t="shared" si="181"/>
        <v>50</v>
      </c>
      <c r="AM97" s="135">
        <f t="shared" si="176"/>
        <v>100</v>
      </c>
      <c r="AN97" s="135"/>
      <c r="AO97" s="135"/>
      <c r="AP97" s="8">
        <f t="shared" si="198"/>
        <v>100</v>
      </c>
      <c r="AQ97" s="119">
        <f t="shared" si="182"/>
        <v>75</v>
      </c>
      <c r="AR97" s="119">
        <f t="shared" si="199"/>
        <v>25</v>
      </c>
      <c r="AS97" s="119">
        <f t="shared" si="183"/>
        <v>75</v>
      </c>
      <c r="AT97" s="135"/>
      <c r="AU97" s="135"/>
      <c r="AV97" s="135"/>
      <c r="AW97" s="8" t="e">
        <f t="shared" si="200"/>
        <v>#DIV/0!</v>
      </c>
      <c r="AX97" s="119">
        <f t="shared" si="184"/>
        <v>100</v>
      </c>
      <c r="AY97" s="119" t="e">
        <f t="shared" si="201"/>
        <v>#DIV/0!</v>
      </c>
      <c r="AZ97" s="119" t="e">
        <f t="shared" si="185"/>
        <v>#DIV/0!</v>
      </c>
      <c r="BA97" s="124"/>
    </row>
    <row r="98" spans="1:53" s="1" customFormat="1" ht="34.5" customHeight="1" x14ac:dyDescent="0.2">
      <c r="A98" s="34"/>
      <c r="B98" s="155"/>
      <c r="C98" s="261"/>
      <c r="D98" s="265"/>
      <c r="E98" s="64">
        <v>91</v>
      </c>
      <c r="F98" s="60" t="s">
        <v>214</v>
      </c>
      <c r="G98" s="64" t="s">
        <v>59</v>
      </c>
      <c r="H98" s="64" t="s">
        <v>60</v>
      </c>
      <c r="I98" s="135">
        <v>100</v>
      </c>
      <c r="J98" s="135">
        <v>25</v>
      </c>
      <c r="K98" s="135">
        <v>25</v>
      </c>
      <c r="L98" s="135">
        <v>25</v>
      </c>
      <c r="M98" s="135">
        <v>25</v>
      </c>
      <c r="N98" s="64" t="s">
        <v>66</v>
      </c>
      <c r="O98" s="64"/>
      <c r="P98" s="64" t="s">
        <v>409</v>
      </c>
      <c r="Q98" s="8">
        <v>100</v>
      </c>
      <c r="R98" s="12" t="s">
        <v>359</v>
      </c>
      <c r="S98" s="64" t="s">
        <v>62</v>
      </c>
      <c r="T98" s="64" t="s">
        <v>62</v>
      </c>
      <c r="U98" s="64" t="s">
        <v>62</v>
      </c>
      <c r="V98" s="11" t="s">
        <v>426</v>
      </c>
      <c r="W98" s="124"/>
      <c r="X98" s="124"/>
      <c r="Y98" s="124"/>
      <c r="Z98" s="135">
        <v>100</v>
      </c>
      <c r="AA98" s="135">
        <v>100</v>
      </c>
      <c r="AB98" s="135">
        <v>100</v>
      </c>
      <c r="AC98" s="8">
        <f t="shared" si="194"/>
        <v>100</v>
      </c>
      <c r="AD98" s="119">
        <f t="shared" si="179"/>
        <v>25</v>
      </c>
      <c r="AE98" s="119">
        <f t="shared" si="195"/>
        <v>25</v>
      </c>
      <c r="AF98" s="135">
        <v>100</v>
      </c>
      <c r="AG98" s="135">
        <v>100</v>
      </c>
      <c r="AH98" s="135">
        <v>100</v>
      </c>
      <c r="AI98" s="8">
        <f t="shared" si="196"/>
        <v>100</v>
      </c>
      <c r="AJ98" s="119">
        <f t="shared" si="180"/>
        <v>50</v>
      </c>
      <c r="AK98" s="119">
        <f t="shared" si="197"/>
        <v>25</v>
      </c>
      <c r="AL98" s="119">
        <f t="shared" si="181"/>
        <v>50</v>
      </c>
      <c r="AM98" s="135">
        <f t="shared" si="176"/>
        <v>100</v>
      </c>
      <c r="AN98" s="135"/>
      <c r="AO98" s="135"/>
      <c r="AP98" s="8">
        <f t="shared" si="198"/>
        <v>100</v>
      </c>
      <c r="AQ98" s="119">
        <f t="shared" si="182"/>
        <v>75</v>
      </c>
      <c r="AR98" s="119">
        <f t="shared" si="199"/>
        <v>25</v>
      </c>
      <c r="AS98" s="119">
        <f t="shared" si="183"/>
        <v>75</v>
      </c>
      <c r="AT98" s="135"/>
      <c r="AU98" s="135"/>
      <c r="AV98" s="135"/>
      <c r="AW98" s="8" t="e">
        <f t="shared" si="200"/>
        <v>#DIV/0!</v>
      </c>
      <c r="AX98" s="119">
        <f t="shared" si="184"/>
        <v>100</v>
      </c>
      <c r="AY98" s="119" t="e">
        <f t="shared" si="201"/>
        <v>#DIV/0!</v>
      </c>
      <c r="AZ98" s="119" t="e">
        <f t="shared" si="185"/>
        <v>#DIV/0!</v>
      </c>
      <c r="BA98" s="124"/>
    </row>
    <row r="99" spans="1:53" s="1" customFormat="1" ht="44.25" customHeight="1" x14ac:dyDescent="0.2">
      <c r="A99" s="34"/>
      <c r="B99" s="155"/>
      <c r="C99" s="266"/>
      <c r="D99" s="247" t="s">
        <v>215</v>
      </c>
      <c r="E99" s="64">
        <v>92</v>
      </c>
      <c r="F99" s="60" t="s">
        <v>216</v>
      </c>
      <c r="G99" s="64" t="s">
        <v>59</v>
      </c>
      <c r="H99" s="64" t="s">
        <v>60</v>
      </c>
      <c r="I99" s="135">
        <v>100</v>
      </c>
      <c r="J99" s="135">
        <v>25</v>
      </c>
      <c r="K99" s="135">
        <v>25</v>
      </c>
      <c r="L99" s="135">
        <v>25</v>
      </c>
      <c r="M99" s="135">
        <v>25</v>
      </c>
      <c r="N99" s="64" t="s">
        <v>66</v>
      </c>
      <c r="O99" s="64"/>
      <c r="P99" s="64" t="s">
        <v>409</v>
      </c>
      <c r="Q99" s="8">
        <v>100</v>
      </c>
      <c r="R99" s="12" t="s">
        <v>360</v>
      </c>
      <c r="S99" s="64" t="s">
        <v>62</v>
      </c>
      <c r="T99" s="64" t="s">
        <v>62</v>
      </c>
      <c r="U99" s="64" t="s">
        <v>62</v>
      </c>
      <c r="V99" s="11" t="s">
        <v>361</v>
      </c>
      <c r="W99" s="124"/>
      <c r="X99" s="124"/>
      <c r="Y99" s="124"/>
      <c r="Z99" s="135">
        <v>100</v>
      </c>
      <c r="AA99" s="135">
        <v>100</v>
      </c>
      <c r="AB99" s="135">
        <v>100</v>
      </c>
      <c r="AC99" s="8">
        <f t="shared" si="194"/>
        <v>100</v>
      </c>
      <c r="AD99" s="119">
        <f t="shared" si="179"/>
        <v>25</v>
      </c>
      <c r="AE99" s="119">
        <f t="shared" si="195"/>
        <v>25</v>
      </c>
      <c r="AF99" s="135">
        <v>100</v>
      </c>
      <c r="AG99" s="135">
        <v>100</v>
      </c>
      <c r="AH99" s="135">
        <v>100</v>
      </c>
      <c r="AI99" s="8">
        <f t="shared" si="196"/>
        <v>100</v>
      </c>
      <c r="AJ99" s="119">
        <f t="shared" si="180"/>
        <v>50</v>
      </c>
      <c r="AK99" s="119">
        <f t="shared" si="197"/>
        <v>25</v>
      </c>
      <c r="AL99" s="119">
        <f t="shared" si="181"/>
        <v>50</v>
      </c>
      <c r="AM99" s="135">
        <f t="shared" si="176"/>
        <v>100</v>
      </c>
      <c r="AN99" s="135"/>
      <c r="AO99" s="135"/>
      <c r="AP99" s="8">
        <f t="shared" si="198"/>
        <v>100</v>
      </c>
      <c r="AQ99" s="119">
        <f t="shared" si="182"/>
        <v>75</v>
      </c>
      <c r="AR99" s="119">
        <f t="shared" si="199"/>
        <v>25</v>
      </c>
      <c r="AS99" s="119">
        <f t="shared" si="183"/>
        <v>75</v>
      </c>
      <c r="AT99" s="135"/>
      <c r="AU99" s="135"/>
      <c r="AV99" s="135"/>
      <c r="AW99" s="8" t="e">
        <f t="shared" si="200"/>
        <v>#DIV/0!</v>
      </c>
      <c r="AX99" s="119">
        <f t="shared" si="184"/>
        <v>100</v>
      </c>
      <c r="AY99" s="119" t="e">
        <f t="shared" si="201"/>
        <v>#DIV/0!</v>
      </c>
      <c r="AZ99" s="119" t="e">
        <f t="shared" si="185"/>
        <v>#DIV/0!</v>
      </c>
      <c r="BA99" s="124"/>
    </row>
    <row r="100" spans="1:53" s="1" customFormat="1" ht="44.25" customHeight="1" x14ac:dyDescent="0.2">
      <c r="A100" s="34"/>
      <c r="B100" s="155"/>
      <c r="C100" s="266"/>
      <c r="D100" s="249"/>
      <c r="E100" s="64">
        <v>93</v>
      </c>
      <c r="F100" s="60" t="s">
        <v>217</v>
      </c>
      <c r="G100" s="163" t="s">
        <v>59</v>
      </c>
      <c r="H100" s="64" t="s">
        <v>60</v>
      </c>
      <c r="I100" s="135">
        <v>100</v>
      </c>
      <c r="J100" s="135">
        <v>25</v>
      </c>
      <c r="K100" s="135">
        <v>25</v>
      </c>
      <c r="L100" s="135">
        <v>25</v>
      </c>
      <c r="M100" s="135">
        <v>25</v>
      </c>
      <c r="N100" s="64" t="s">
        <v>66</v>
      </c>
      <c r="O100" s="164"/>
      <c r="P100" s="64" t="s">
        <v>409</v>
      </c>
      <c r="Q100" s="8">
        <v>100</v>
      </c>
      <c r="R100" s="12" t="s">
        <v>362</v>
      </c>
      <c r="S100" s="64" t="s">
        <v>62</v>
      </c>
      <c r="T100" s="64" t="s">
        <v>62</v>
      </c>
      <c r="U100" s="64" t="s">
        <v>62</v>
      </c>
      <c r="V100" s="11" t="s">
        <v>361</v>
      </c>
      <c r="W100" s="124"/>
      <c r="X100" s="124"/>
      <c r="Y100" s="124"/>
      <c r="Z100" s="135">
        <v>100</v>
      </c>
      <c r="AA100" s="135">
        <v>100</v>
      </c>
      <c r="AB100" s="135">
        <v>100</v>
      </c>
      <c r="AC100" s="8">
        <f t="shared" si="194"/>
        <v>100</v>
      </c>
      <c r="AD100" s="119">
        <f t="shared" ref="AD100" si="217">J100</f>
        <v>25</v>
      </c>
      <c r="AE100" s="119">
        <f t="shared" ref="AE100" si="218">(J100*AC100)/I100</f>
        <v>25</v>
      </c>
      <c r="AF100" s="135">
        <v>100</v>
      </c>
      <c r="AG100" s="135">
        <v>100</v>
      </c>
      <c r="AH100" s="135">
        <v>100</v>
      </c>
      <c r="AI100" s="8">
        <f t="shared" si="196"/>
        <v>100</v>
      </c>
      <c r="AJ100" s="119">
        <f t="shared" ref="AJ100" si="219">J100+K100</f>
        <v>50</v>
      </c>
      <c r="AK100" s="119">
        <f t="shared" ref="AK100" si="220">(K100*AI100)/I100</f>
        <v>25</v>
      </c>
      <c r="AL100" s="119">
        <f t="shared" ref="AL100" si="221">AE100+AK100</f>
        <v>50</v>
      </c>
      <c r="AM100" s="135">
        <f t="shared" si="176"/>
        <v>100</v>
      </c>
      <c r="AN100" s="135"/>
      <c r="AO100" s="135"/>
      <c r="AP100" s="8">
        <f t="shared" ref="AP100" si="222">AVERAGE(AM100:AO100)</f>
        <v>100</v>
      </c>
      <c r="AQ100" s="119">
        <f t="shared" ref="AQ100" si="223">J100+K100+L100</f>
        <v>75</v>
      </c>
      <c r="AR100" s="119">
        <f t="shared" ref="AR100" si="224">(L100*AP100)/I100</f>
        <v>25</v>
      </c>
      <c r="AS100" s="119">
        <f t="shared" ref="AS100" si="225">AE100+AK100+AR100</f>
        <v>75</v>
      </c>
      <c r="AT100" s="135"/>
      <c r="AU100" s="135"/>
      <c r="AV100" s="135"/>
      <c r="AW100" s="8" t="e">
        <f t="shared" ref="AW100" si="226">AVERAGE(AT100:AV100)</f>
        <v>#DIV/0!</v>
      </c>
      <c r="AX100" s="119">
        <f t="shared" ref="AX100" si="227">J100+K100+L100+M100</f>
        <v>100</v>
      </c>
      <c r="AY100" s="119" t="e">
        <f t="shared" ref="AY100" si="228">(M100*AW100)/I100</f>
        <v>#DIV/0!</v>
      </c>
      <c r="AZ100" s="119" t="e">
        <f t="shared" ref="AZ100" si="229">AE100+AK100+AR100+AY100</f>
        <v>#DIV/0!</v>
      </c>
      <c r="BA100" s="124"/>
    </row>
    <row r="101" spans="1:53" s="1" customFormat="1" ht="44.25" customHeight="1" x14ac:dyDescent="0.2">
      <c r="A101" s="34"/>
      <c r="B101" s="156"/>
      <c r="C101" s="262"/>
      <c r="D101" s="173" t="s">
        <v>89</v>
      </c>
      <c r="E101" s="64">
        <v>94</v>
      </c>
      <c r="F101" s="60" t="s">
        <v>218</v>
      </c>
      <c r="G101" s="163" t="s">
        <v>59</v>
      </c>
      <c r="H101" s="163" t="s">
        <v>60</v>
      </c>
      <c r="I101" s="167">
        <v>100</v>
      </c>
      <c r="J101" s="135">
        <v>25</v>
      </c>
      <c r="K101" s="135">
        <v>25</v>
      </c>
      <c r="L101" s="135">
        <v>25</v>
      </c>
      <c r="M101" s="135">
        <v>25</v>
      </c>
      <c r="N101" s="64" t="s">
        <v>66</v>
      </c>
      <c r="O101" s="164"/>
      <c r="P101" s="64" t="s">
        <v>409</v>
      </c>
      <c r="Q101" s="8">
        <v>100</v>
      </c>
      <c r="R101" s="78" t="s">
        <v>363</v>
      </c>
      <c r="S101" s="64" t="s">
        <v>62</v>
      </c>
      <c r="T101" s="64" t="s">
        <v>62</v>
      </c>
      <c r="U101" s="64" t="s">
        <v>62</v>
      </c>
      <c r="V101" s="11" t="s">
        <v>364</v>
      </c>
      <c r="W101" s="124"/>
      <c r="X101" s="124"/>
      <c r="Y101" s="124"/>
      <c r="Z101" s="135">
        <v>100</v>
      </c>
      <c r="AA101" s="135">
        <v>100</v>
      </c>
      <c r="AB101" s="135">
        <v>100</v>
      </c>
      <c r="AC101" s="8">
        <f t="shared" ref="AC101" si="230">AVERAGE(Z101:AB101)</f>
        <v>100</v>
      </c>
      <c r="AD101" s="119">
        <f t="shared" ref="AD101" si="231">J101</f>
        <v>25</v>
      </c>
      <c r="AE101" s="119">
        <f t="shared" ref="AE101" si="232">(J101*AC101)/I101</f>
        <v>25</v>
      </c>
      <c r="AF101" s="135">
        <v>100</v>
      </c>
      <c r="AG101" s="135">
        <v>100</v>
      </c>
      <c r="AH101" s="135">
        <v>100</v>
      </c>
      <c r="AI101" s="8">
        <f t="shared" ref="AI101" si="233">AVERAGE(AF101:AH101)</f>
        <v>100</v>
      </c>
      <c r="AJ101" s="119">
        <f t="shared" ref="AJ101" si="234">J101+K101</f>
        <v>50</v>
      </c>
      <c r="AK101" s="119">
        <f t="shared" ref="AK101" si="235">(K101*AI101)/I101</f>
        <v>25</v>
      </c>
      <c r="AL101" s="119">
        <f t="shared" ref="AL101" si="236">AE101+AK101</f>
        <v>50</v>
      </c>
      <c r="AM101" s="135">
        <f t="shared" si="176"/>
        <v>100</v>
      </c>
      <c r="AN101" s="135"/>
      <c r="AO101" s="135"/>
      <c r="AP101" s="8">
        <f t="shared" ref="AP101" si="237">AVERAGE(AM101:AO101)</f>
        <v>100</v>
      </c>
      <c r="AQ101" s="119">
        <f t="shared" ref="AQ101" si="238">J101+K101+L101</f>
        <v>75</v>
      </c>
      <c r="AR101" s="119">
        <f t="shared" ref="AR101" si="239">(L101*AP101)/I101</f>
        <v>25</v>
      </c>
      <c r="AS101" s="119">
        <f t="shared" ref="AS101" si="240">AE101+AK101+AR101</f>
        <v>75</v>
      </c>
      <c r="AT101" s="135"/>
      <c r="AU101" s="135"/>
      <c r="AV101" s="135"/>
      <c r="AW101" s="8" t="e">
        <f t="shared" ref="AW101" si="241">AVERAGE(AT101:AV101)</f>
        <v>#DIV/0!</v>
      </c>
      <c r="AX101" s="119">
        <f t="shared" ref="AX101" si="242">J101+K101+L101+M101</f>
        <v>100</v>
      </c>
      <c r="AY101" s="119" t="e">
        <f t="shared" ref="AY101" si="243">(M101*AW101)/I101</f>
        <v>#DIV/0!</v>
      </c>
      <c r="AZ101" s="119" t="e">
        <f t="shared" ref="AZ101" si="244">AE101+AK101+AR101+AY101</f>
        <v>#DIV/0!</v>
      </c>
      <c r="BA101" s="124"/>
    </row>
    <row r="102" spans="1:53" s="1" customFormat="1" ht="43.5" customHeight="1" x14ac:dyDescent="0.2">
      <c r="A102" s="73">
        <v>8</v>
      </c>
      <c r="B102" s="74" t="s">
        <v>219</v>
      </c>
      <c r="C102" s="203" t="s">
        <v>56</v>
      </c>
      <c r="D102" s="166" t="s">
        <v>57</v>
      </c>
      <c r="E102" s="64">
        <v>95</v>
      </c>
      <c r="F102" s="204" t="s">
        <v>220</v>
      </c>
      <c r="G102" s="205" t="s">
        <v>196</v>
      </c>
      <c r="H102" s="205" t="s">
        <v>60</v>
      </c>
      <c r="I102" s="206">
        <v>90</v>
      </c>
      <c r="J102" s="135">
        <v>23</v>
      </c>
      <c r="K102" s="135">
        <v>22</v>
      </c>
      <c r="L102" s="135">
        <v>23</v>
      </c>
      <c r="M102" s="135">
        <v>22</v>
      </c>
      <c r="N102" s="205" t="s">
        <v>66</v>
      </c>
      <c r="O102" s="207"/>
      <c r="P102" s="64" t="s">
        <v>409</v>
      </c>
      <c r="Q102" s="8">
        <v>0</v>
      </c>
      <c r="R102" s="78" t="s">
        <v>401</v>
      </c>
      <c r="S102" s="64" t="s">
        <v>62</v>
      </c>
      <c r="T102" s="64" t="s">
        <v>62</v>
      </c>
      <c r="U102" s="64" t="s">
        <v>62</v>
      </c>
      <c r="V102" s="11" t="s">
        <v>365</v>
      </c>
      <c r="W102" s="124"/>
      <c r="X102" s="124"/>
      <c r="Y102" s="124"/>
      <c r="Z102" s="135">
        <v>0</v>
      </c>
      <c r="AA102" s="135">
        <v>0</v>
      </c>
      <c r="AB102" s="135">
        <v>0</v>
      </c>
      <c r="AC102" s="8">
        <f t="shared" si="194"/>
        <v>0</v>
      </c>
      <c r="AD102" s="119">
        <f t="shared" si="179"/>
        <v>23</v>
      </c>
      <c r="AE102" s="119">
        <f t="shared" si="195"/>
        <v>0</v>
      </c>
      <c r="AF102" s="135">
        <v>0</v>
      </c>
      <c r="AG102" s="135">
        <v>0</v>
      </c>
      <c r="AH102" s="135">
        <v>0</v>
      </c>
      <c r="AI102" s="8">
        <f t="shared" si="196"/>
        <v>0</v>
      </c>
      <c r="AJ102" s="119">
        <f t="shared" si="180"/>
        <v>45</v>
      </c>
      <c r="AK102" s="119">
        <f t="shared" si="197"/>
        <v>0</v>
      </c>
      <c r="AL102" s="119">
        <f t="shared" si="181"/>
        <v>0</v>
      </c>
      <c r="AM102" s="135">
        <f t="shared" si="176"/>
        <v>0</v>
      </c>
      <c r="AN102" s="135"/>
      <c r="AO102" s="135"/>
      <c r="AP102" s="8">
        <f t="shared" si="198"/>
        <v>0</v>
      </c>
      <c r="AQ102" s="119">
        <f t="shared" si="182"/>
        <v>68</v>
      </c>
      <c r="AR102" s="119">
        <f t="shared" si="199"/>
        <v>0</v>
      </c>
      <c r="AS102" s="119">
        <f t="shared" si="183"/>
        <v>0</v>
      </c>
      <c r="AT102" s="135"/>
      <c r="AU102" s="135"/>
      <c r="AV102" s="135"/>
      <c r="AW102" s="8" t="e">
        <f t="shared" si="200"/>
        <v>#DIV/0!</v>
      </c>
      <c r="AX102" s="119">
        <f t="shared" si="184"/>
        <v>90</v>
      </c>
      <c r="AY102" s="119" t="e">
        <f t="shared" si="201"/>
        <v>#DIV/0!</v>
      </c>
      <c r="AZ102" s="119" t="e">
        <f t="shared" si="185"/>
        <v>#DIV/0!</v>
      </c>
      <c r="BA102" s="124"/>
    </row>
    <row r="103" spans="1:53" ht="44.25" customHeight="1" x14ac:dyDescent="0.25">
      <c r="A103" s="75"/>
      <c r="B103" s="54"/>
      <c r="C103" s="244" t="s">
        <v>70</v>
      </c>
      <c r="D103" s="247" t="s">
        <v>258</v>
      </c>
      <c r="E103" s="64">
        <v>96</v>
      </c>
      <c r="F103" s="60" t="s">
        <v>221</v>
      </c>
      <c r="G103" s="64" t="s">
        <v>59</v>
      </c>
      <c r="H103" s="64" t="s">
        <v>60</v>
      </c>
      <c r="I103" s="135">
        <v>100</v>
      </c>
      <c r="J103" s="135">
        <v>25</v>
      </c>
      <c r="K103" s="135">
        <v>25</v>
      </c>
      <c r="L103" s="135">
        <v>25</v>
      </c>
      <c r="M103" s="135">
        <v>25</v>
      </c>
      <c r="N103" s="205"/>
      <c r="O103" s="208" t="s">
        <v>66</v>
      </c>
      <c r="P103" s="64" t="s">
        <v>409</v>
      </c>
      <c r="Q103" s="8">
        <v>100</v>
      </c>
      <c r="R103" s="60" t="s">
        <v>366</v>
      </c>
      <c r="S103" s="64" t="s">
        <v>62</v>
      </c>
      <c r="T103" s="64" t="s">
        <v>62</v>
      </c>
      <c r="U103" s="64" t="s">
        <v>62</v>
      </c>
      <c r="V103" s="11" t="s">
        <v>367</v>
      </c>
      <c r="Z103" s="135">
        <v>100</v>
      </c>
      <c r="AA103" s="135">
        <v>100</v>
      </c>
      <c r="AB103" s="135">
        <v>100</v>
      </c>
      <c r="AC103" s="8">
        <f t="shared" si="194"/>
        <v>100</v>
      </c>
      <c r="AD103" s="119">
        <f t="shared" si="179"/>
        <v>25</v>
      </c>
      <c r="AE103" s="119">
        <f t="shared" si="195"/>
        <v>25</v>
      </c>
      <c r="AF103" s="135">
        <v>100</v>
      </c>
      <c r="AG103" s="135">
        <v>100</v>
      </c>
      <c r="AH103" s="135">
        <v>100</v>
      </c>
      <c r="AI103" s="8">
        <f t="shared" si="196"/>
        <v>100</v>
      </c>
      <c r="AJ103" s="119">
        <f t="shared" si="180"/>
        <v>50</v>
      </c>
      <c r="AK103" s="119">
        <f t="shared" si="197"/>
        <v>25</v>
      </c>
      <c r="AL103" s="119">
        <f t="shared" si="181"/>
        <v>50</v>
      </c>
      <c r="AM103" s="135">
        <f t="shared" si="176"/>
        <v>100</v>
      </c>
      <c r="AN103" s="135"/>
      <c r="AO103" s="135"/>
      <c r="AP103" s="8">
        <f t="shared" si="198"/>
        <v>100</v>
      </c>
      <c r="AQ103" s="119">
        <f t="shared" si="182"/>
        <v>75</v>
      </c>
      <c r="AR103" s="119">
        <f t="shared" si="199"/>
        <v>25</v>
      </c>
      <c r="AS103" s="119">
        <f t="shared" si="183"/>
        <v>75</v>
      </c>
      <c r="AT103" s="135"/>
      <c r="AU103" s="135"/>
      <c r="AV103" s="135"/>
      <c r="AW103" s="8" t="e">
        <f t="shared" si="200"/>
        <v>#DIV/0!</v>
      </c>
      <c r="AX103" s="119">
        <f t="shared" si="184"/>
        <v>100</v>
      </c>
      <c r="AY103" s="119" t="e">
        <f t="shared" si="201"/>
        <v>#DIV/0!</v>
      </c>
      <c r="AZ103" s="119" t="e">
        <f t="shared" si="185"/>
        <v>#DIV/0!</v>
      </c>
    </row>
    <row r="104" spans="1:53" ht="44.25" customHeight="1" x14ac:dyDescent="0.25">
      <c r="A104" s="75"/>
      <c r="B104" s="54"/>
      <c r="C104" s="245"/>
      <c r="D104" s="248"/>
      <c r="E104" s="64">
        <v>97</v>
      </c>
      <c r="F104" s="60" t="s">
        <v>222</v>
      </c>
      <c r="G104" s="64" t="s">
        <v>59</v>
      </c>
      <c r="H104" s="64" t="s">
        <v>60</v>
      </c>
      <c r="I104" s="135">
        <v>100</v>
      </c>
      <c r="J104" s="135">
        <v>25</v>
      </c>
      <c r="K104" s="135">
        <v>25</v>
      </c>
      <c r="L104" s="135">
        <v>25</v>
      </c>
      <c r="M104" s="135">
        <v>25</v>
      </c>
      <c r="N104" s="64" t="s">
        <v>66</v>
      </c>
      <c r="O104" s="64"/>
      <c r="P104" s="64" t="s">
        <v>409</v>
      </c>
      <c r="Q104" s="8">
        <v>100</v>
      </c>
      <c r="R104" s="60" t="s">
        <v>368</v>
      </c>
      <c r="S104" s="64" t="s">
        <v>62</v>
      </c>
      <c r="T104" s="64" t="s">
        <v>62</v>
      </c>
      <c r="U104" s="64" t="s">
        <v>62</v>
      </c>
      <c r="V104" s="11" t="s">
        <v>367</v>
      </c>
      <c r="Z104" s="135">
        <v>100</v>
      </c>
      <c r="AA104" s="135">
        <v>100</v>
      </c>
      <c r="AB104" s="135">
        <v>100</v>
      </c>
      <c r="AC104" s="8">
        <f t="shared" ref="AC104" si="245">AVERAGE(Z104:AB104)</f>
        <v>100</v>
      </c>
      <c r="AD104" s="119">
        <f t="shared" si="179"/>
        <v>25</v>
      </c>
      <c r="AE104" s="119">
        <f t="shared" ref="AE104" si="246">(J104*AC104)/I104</f>
        <v>25</v>
      </c>
      <c r="AF104" s="135">
        <v>100</v>
      </c>
      <c r="AG104" s="135">
        <v>100</v>
      </c>
      <c r="AH104" s="135">
        <v>100</v>
      </c>
      <c r="AI104" s="8">
        <f t="shared" ref="AI104" si="247">AVERAGE(AF104:AH104)</f>
        <v>100</v>
      </c>
      <c r="AJ104" s="119">
        <f t="shared" si="180"/>
        <v>50</v>
      </c>
      <c r="AK104" s="119">
        <f t="shared" ref="AK104" si="248">(K104*AI104)/I104</f>
        <v>25</v>
      </c>
      <c r="AL104" s="119">
        <f t="shared" si="181"/>
        <v>50</v>
      </c>
      <c r="AM104" s="135">
        <f t="shared" si="176"/>
        <v>100</v>
      </c>
      <c r="AN104" s="135"/>
      <c r="AO104" s="135"/>
      <c r="AP104" s="8">
        <f t="shared" ref="AP104" si="249">AVERAGE(AM104:AO104)</f>
        <v>100</v>
      </c>
      <c r="AQ104" s="119">
        <f t="shared" si="182"/>
        <v>75</v>
      </c>
      <c r="AR104" s="119">
        <f t="shared" ref="AR104" si="250">(L104*AP104)/I104</f>
        <v>25</v>
      </c>
      <c r="AS104" s="119">
        <f t="shared" si="183"/>
        <v>75</v>
      </c>
      <c r="AT104" s="135"/>
      <c r="AU104" s="135"/>
      <c r="AV104" s="135"/>
      <c r="AW104" s="8" t="e">
        <f t="shared" ref="AW104" si="251">AVERAGE(AT104:AV104)</f>
        <v>#DIV/0!</v>
      </c>
      <c r="AX104" s="119">
        <f t="shared" si="184"/>
        <v>100</v>
      </c>
      <c r="AY104" s="119" t="e">
        <f t="shared" ref="AY104" si="252">(M104*AW104)/I104</f>
        <v>#DIV/0!</v>
      </c>
      <c r="AZ104" s="119" t="e">
        <f t="shared" si="185"/>
        <v>#DIV/0!</v>
      </c>
      <c r="BA104" t="s">
        <v>223</v>
      </c>
    </row>
    <row r="105" spans="1:53" ht="44.25" customHeight="1" x14ac:dyDescent="0.25">
      <c r="A105" s="75"/>
      <c r="B105" s="54"/>
      <c r="C105" s="246"/>
      <c r="D105" s="249"/>
      <c r="E105" s="64">
        <v>98</v>
      </c>
      <c r="F105" s="60" t="s">
        <v>224</v>
      </c>
      <c r="G105" s="64" t="s">
        <v>59</v>
      </c>
      <c r="H105" s="64" t="s">
        <v>60</v>
      </c>
      <c r="I105" s="135">
        <v>100</v>
      </c>
      <c r="J105" s="135">
        <v>25</v>
      </c>
      <c r="K105" s="135">
        <v>25</v>
      </c>
      <c r="L105" s="135">
        <v>25</v>
      </c>
      <c r="M105" s="135">
        <v>25</v>
      </c>
      <c r="N105" s="64" t="s">
        <v>66</v>
      </c>
      <c r="O105" s="64"/>
      <c r="P105" s="64" t="s">
        <v>409</v>
      </c>
      <c r="Q105" s="8">
        <v>100</v>
      </c>
      <c r="R105" s="60" t="s">
        <v>369</v>
      </c>
      <c r="S105" s="64" t="s">
        <v>62</v>
      </c>
      <c r="T105" s="64" t="s">
        <v>62</v>
      </c>
      <c r="U105" s="64" t="s">
        <v>62</v>
      </c>
      <c r="V105" s="11" t="s">
        <v>367</v>
      </c>
      <c r="Z105" s="135">
        <v>100</v>
      </c>
      <c r="AA105" s="135">
        <v>100</v>
      </c>
      <c r="AB105" s="135">
        <v>100</v>
      </c>
      <c r="AC105" s="8">
        <f t="shared" ref="AC105" si="253">AVERAGE(Z105:AB105)</f>
        <v>100</v>
      </c>
      <c r="AD105" s="119">
        <f t="shared" ref="AD105" si="254">J105</f>
        <v>25</v>
      </c>
      <c r="AE105" s="119">
        <f t="shared" ref="AE105" si="255">(J105*AC105)/I105</f>
        <v>25</v>
      </c>
      <c r="AF105" s="135">
        <v>100</v>
      </c>
      <c r="AG105" s="135">
        <v>100</v>
      </c>
      <c r="AH105" s="135">
        <v>100</v>
      </c>
      <c r="AI105" s="8">
        <f t="shared" ref="AI105" si="256">AVERAGE(AF105:AH105)</f>
        <v>100</v>
      </c>
      <c r="AJ105" s="119">
        <f t="shared" ref="AJ105" si="257">J105+K105</f>
        <v>50</v>
      </c>
      <c r="AK105" s="119">
        <f t="shared" ref="AK105" si="258">(K105*AI105)/I105</f>
        <v>25</v>
      </c>
      <c r="AL105" s="119">
        <f t="shared" ref="AL105" si="259">AE105+AK105</f>
        <v>50</v>
      </c>
      <c r="AM105" s="135">
        <f t="shared" si="176"/>
        <v>100</v>
      </c>
      <c r="AN105" s="135"/>
      <c r="AO105" s="135"/>
      <c r="AP105" s="8">
        <f t="shared" ref="AP105" si="260">AVERAGE(AM105:AO105)</f>
        <v>100</v>
      </c>
      <c r="AQ105" s="119">
        <f t="shared" ref="AQ105" si="261">J105+K105+L105</f>
        <v>75</v>
      </c>
      <c r="AR105" s="119">
        <f t="shared" ref="AR105" si="262">(L105*AP105)/I105</f>
        <v>25</v>
      </c>
      <c r="AS105" s="119">
        <f t="shared" ref="AS105" si="263">AE105+AK105+AR105</f>
        <v>75</v>
      </c>
      <c r="AT105" s="135"/>
      <c r="AU105" s="135"/>
      <c r="AV105" s="135"/>
      <c r="AW105" s="8" t="e">
        <f t="shared" ref="AW105" si="264">AVERAGE(AT105:AV105)</f>
        <v>#DIV/0!</v>
      </c>
      <c r="AX105" s="119">
        <f t="shared" ref="AX105" si="265">J105+K105+L105+M105</f>
        <v>100</v>
      </c>
      <c r="AY105" s="119" t="e">
        <f t="shared" ref="AY105" si="266">(M105*AW105)/I105</f>
        <v>#DIV/0!</v>
      </c>
      <c r="AZ105" s="119" t="e">
        <f t="shared" ref="AZ105" si="267">AE105+AK105+AR105+AY105</f>
        <v>#DIV/0!</v>
      </c>
    </row>
    <row r="106" spans="1:53" ht="44.25" customHeight="1" x14ac:dyDescent="0.25">
      <c r="A106" s="76"/>
      <c r="B106" s="54"/>
      <c r="C106" s="209" t="s">
        <v>145</v>
      </c>
      <c r="D106" s="173" t="s">
        <v>257</v>
      </c>
      <c r="E106" s="64">
        <v>99</v>
      </c>
      <c r="F106" s="60" t="s">
        <v>259</v>
      </c>
      <c r="G106" s="64" t="s">
        <v>59</v>
      </c>
      <c r="H106" s="64" t="s">
        <v>60</v>
      </c>
      <c r="I106" s="107">
        <v>100</v>
      </c>
      <c r="J106" s="107">
        <v>30</v>
      </c>
      <c r="K106" s="107">
        <v>40</v>
      </c>
      <c r="L106" s="107">
        <v>10</v>
      </c>
      <c r="M106" s="107">
        <v>20</v>
      </c>
      <c r="N106" s="205" t="s">
        <v>66</v>
      </c>
      <c r="O106" s="208"/>
      <c r="P106" s="64" t="s">
        <v>409</v>
      </c>
      <c r="Q106" s="236">
        <v>70.400000000000006</v>
      </c>
      <c r="R106" s="78" t="s">
        <v>453</v>
      </c>
      <c r="S106" s="64" t="s">
        <v>62</v>
      </c>
      <c r="T106" s="64" t="s">
        <v>62</v>
      </c>
      <c r="U106" s="64" t="s">
        <v>62</v>
      </c>
      <c r="V106" s="11" t="s">
        <v>370</v>
      </c>
      <c r="W106" s="113"/>
      <c r="X106" s="113"/>
      <c r="Z106" s="135">
        <v>5.0999999999999996</v>
      </c>
      <c r="AA106" s="135">
        <v>19.7</v>
      </c>
      <c r="AB106" s="135">
        <v>34.1</v>
      </c>
      <c r="AC106" s="145">
        <f>AB106</f>
        <v>34.1</v>
      </c>
      <c r="AD106" s="119">
        <f>J106</f>
        <v>30</v>
      </c>
      <c r="AE106" s="120">
        <f>AC106</f>
        <v>34.1</v>
      </c>
      <c r="AF106" s="135">
        <v>45.8</v>
      </c>
      <c r="AG106" s="135">
        <v>61.4</v>
      </c>
      <c r="AH106" s="135">
        <v>69.599999999999994</v>
      </c>
      <c r="AI106" s="145">
        <f>AH106</f>
        <v>69.599999999999994</v>
      </c>
      <c r="AJ106" s="119">
        <f>J106+K106</f>
        <v>70</v>
      </c>
      <c r="AK106" s="120">
        <f>AI106</f>
        <v>69.599999999999994</v>
      </c>
      <c r="AL106" s="119">
        <f>AK106</f>
        <v>69.599999999999994</v>
      </c>
      <c r="AM106" s="135">
        <f t="shared" si="176"/>
        <v>70.400000000000006</v>
      </c>
      <c r="AN106" s="135"/>
      <c r="AO106" s="135"/>
      <c r="AP106" s="145">
        <f>AO106</f>
        <v>0</v>
      </c>
      <c r="AQ106" s="119">
        <f>J106+K106+L106</f>
        <v>80</v>
      </c>
      <c r="AR106" s="120">
        <f>AP106</f>
        <v>0</v>
      </c>
      <c r="AS106" s="119">
        <f>AR106</f>
        <v>0</v>
      </c>
      <c r="AT106" s="135"/>
      <c r="AU106" s="135"/>
      <c r="AV106" s="135"/>
      <c r="AW106" s="145">
        <f>AV106</f>
        <v>0</v>
      </c>
      <c r="AX106" s="119">
        <f>J106+K106+L106+M106</f>
        <v>100</v>
      </c>
      <c r="AY106" s="120">
        <f>AW106</f>
        <v>0</v>
      </c>
      <c r="AZ106" s="119">
        <f>AY106</f>
        <v>0</v>
      </c>
      <c r="BA106" s="131"/>
    </row>
    <row r="107" spans="1:53" ht="15.75" x14ac:dyDescent="0.25">
      <c r="B107" s="18"/>
      <c r="C107" s="18"/>
      <c r="D107" s="6"/>
      <c r="E107" s="18"/>
      <c r="F107" s="18"/>
      <c r="G107" s="65"/>
      <c r="H107" s="65"/>
      <c r="I107" s="96"/>
      <c r="J107" s="87"/>
      <c r="K107" s="87"/>
      <c r="L107" s="87"/>
      <c r="M107" s="87"/>
      <c r="N107" s="18"/>
      <c r="O107" s="18"/>
      <c r="P107" s="44"/>
      <c r="Q107" s="44"/>
      <c r="R107" s="13"/>
      <c r="S107" s="18"/>
      <c r="T107" s="18"/>
      <c r="U107" s="18"/>
      <c r="V107" s="57"/>
      <c r="AM107" s="150"/>
      <c r="AN107" s="150"/>
      <c r="AO107" s="150"/>
      <c r="AT107" s="150"/>
    </row>
    <row r="108" spans="1:53" ht="15" customHeight="1" x14ac:dyDescent="0.25">
      <c r="A108" s="45" t="s">
        <v>225</v>
      </c>
      <c r="R108" s="257" t="s">
        <v>226</v>
      </c>
      <c r="S108" s="258"/>
      <c r="T108" s="258"/>
      <c r="U108" s="258"/>
      <c r="V108" s="259"/>
      <c r="Z108" s="150"/>
      <c r="AA108" s="150"/>
      <c r="AF108" s="150"/>
      <c r="AM108" s="150"/>
      <c r="AN108" s="150"/>
      <c r="AO108" s="150"/>
      <c r="AT108" s="150"/>
    </row>
    <row r="109" spans="1:53" ht="15.75" customHeight="1" thickBot="1" x14ac:dyDescent="0.3">
      <c r="A109" s="45"/>
      <c r="E109" s="84" t="s">
        <v>227</v>
      </c>
      <c r="F109" s="84"/>
      <c r="O109" s="83"/>
      <c r="P109" s="83"/>
      <c r="Q109" s="227"/>
      <c r="R109" s="14" t="s">
        <v>228</v>
      </c>
      <c r="S109" s="47" t="s">
        <v>229</v>
      </c>
      <c r="T109" s="47" t="s">
        <v>230</v>
      </c>
      <c r="U109" s="47" t="s">
        <v>231</v>
      </c>
      <c r="V109" s="14" t="s">
        <v>232</v>
      </c>
      <c r="Z109" s="234"/>
      <c r="AA109" s="234"/>
      <c r="AB109" s="234"/>
      <c r="AC109" s="234"/>
      <c r="AD109" s="234"/>
      <c r="AE109" s="234"/>
      <c r="AF109" s="234"/>
      <c r="AG109" s="234"/>
      <c r="AM109" s="150"/>
      <c r="AN109" s="150"/>
      <c r="AO109" s="150"/>
      <c r="AT109" s="150"/>
    </row>
    <row r="110" spans="1:53" ht="15.75" customHeight="1" thickBot="1" x14ac:dyDescent="0.3">
      <c r="A110" s="19" t="s">
        <v>233</v>
      </c>
      <c r="E110" s="3"/>
      <c r="F110" s="19" t="s">
        <v>234</v>
      </c>
      <c r="G110" s="67"/>
      <c r="H110" s="67"/>
      <c r="I110" s="98"/>
      <c r="J110" s="89"/>
      <c r="K110" s="89"/>
      <c r="L110" s="89"/>
      <c r="M110" s="89"/>
      <c r="R110" s="15" t="s">
        <v>235</v>
      </c>
      <c r="S110" s="7">
        <f>COUNTIF(P8:P9,"si")</f>
        <v>2</v>
      </c>
      <c r="T110" s="7">
        <f>COUNTIF(P8:P9,"no")</f>
        <v>0</v>
      </c>
      <c r="U110" s="7">
        <f>S110+T110</f>
        <v>2</v>
      </c>
      <c r="V110" s="48">
        <f t="shared" ref="V110:V117" si="268">(S110/U110)</f>
        <v>1</v>
      </c>
      <c r="AM110" s="150"/>
      <c r="AN110" s="150"/>
      <c r="AO110" s="150"/>
      <c r="AT110" s="150"/>
    </row>
    <row r="111" spans="1:53" ht="15.75" customHeight="1" thickBot="1" x14ac:dyDescent="0.3">
      <c r="A111" s="19" t="s">
        <v>236</v>
      </c>
      <c r="E111" s="49"/>
      <c r="F111" s="19" t="s">
        <v>262</v>
      </c>
      <c r="G111" s="67"/>
      <c r="H111" s="67"/>
      <c r="I111" s="98"/>
      <c r="J111" s="89"/>
      <c r="K111" s="89"/>
      <c r="L111" s="89"/>
      <c r="M111" s="89"/>
      <c r="R111" s="15" t="s">
        <v>237</v>
      </c>
      <c r="S111" s="7">
        <f>COUNTIF(P10:P21,"si")</f>
        <v>12</v>
      </c>
      <c r="T111" s="7">
        <f>COUNTIF(P10:P21,"no")</f>
        <v>0</v>
      </c>
      <c r="U111" s="7">
        <f t="shared" ref="U111:U117" si="269">S111+T111</f>
        <v>12</v>
      </c>
      <c r="V111" s="48">
        <f t="shared" si="268"/>
        <v>1</v>
      </c>
      <c r="AM111" s="150"/>
      <c r="AN111" s="150"/>
      <c r="AO111" s="150"/>
      <c r="AT111" s="150"/>
    </row>
    <row r="112" spans="1:53" ht="15.75" customHeight="1" thickBot="1" x14ac:dyDescent="0.3">
      <c r="A112" s="19" t="s">
        <v>238</v>
      </c>
      <c r="E112" s="50"/>
      <c r="F112" s="17" t="s">
        <v>263</v>
      </c>
      <c r="R112" s="15" t="s">
        <v>239</v>
      </c>
      <c r="S112" s="7">
        <f>COUNTIF(P22:P36,"si")</f>
        <v>14</v>
      </c>
      <c r="T112" s="7">
        <f>COUNTIF(P22:P36,"no")</f>
        <v>1</v>
      </c>
      <c r="U112" s="7">
        <f t="shared" si="269"/>
        <v>15</v>
      </c>
      <c r="V112" s="48">
        <f t="shared" si="268"/>
        <v>0.93333333333333335</v>
      </c>
      <c r="AM112" s="150"/>
      <c r="AN112" s="150"/>
      <c r="AO112" s="150"/>
      <c r="AT112" s="150"/>
    </row>
    <row r="113" spans="1:52" ht="15" customHeight="1" x14ac:dyDescent="0.25">
      <c r="A113" s="19" t="s">
        <v>240</v>
      </c>
      <c r="R113" s="15" t="s">
        <v>241</v>
      </c>
      <c r="S113" s="7">
        <f>COUNTIF(P37:P51,"si")</f>
        <v>8</v>
      </c>
      <c r="T113" s="7">
        <f>COUNTIF(P37:P51,"no")</f>
        <v>7</v>
      </c>
      <c r="U113" s="7">
        <f t="shared" si="269"/>
        <v>15</v>
      </c>
      <c r="V113" s="48">
        <f>(S113/U113)</f>
        <v>0.53333333333333333</v>
      </c>
      <c r="AM113" s="150"/>
      <c r="AN113" s="150"/>
      <c r="AO113" s="150"/>
      <c r="AT113" s="150"/>
    </row>
    <row r="114" spans="1:52" ht="15.75" customHeight="1" x14ac:dyDescent="0.25">
      <c r="A114" s="19" t="s">
        <v>242</v>
      </c>
      <c r="E114" s="20" t="s">
        <v>243</v>
      </c>
      <c r="F114" s="20" t="s">
        <v>244</v>
      </c>
      <c r="G114" s="68"/>
      <c r="H114" s="68"/>
      <c r="I114" s="99"/>
      <c r="J114" s="90"/>
      <c r="K114" s="90"/>
      <c r="L114" s="90"/>
      <c r="M114" s="90"/>
      <c r="R114" s="15" t="s">
        <v>245</v>
      </c>
      <c r="S114" s="7">
        <f>COUNTIF(P52:P58,"si")</f>
        <v>6</v>
      </c>
      <c r="T114" s="7">
        <f>COUNTIF(P52:P58,"no")</f>
        <v>1</v>
      </c>
      <c r="U114" s="7">
        <f t="shared" si="269"/>
        <v>7</v>
      </c>
      <c r="V114" s="48">
        <f t="shared" si="268"/>
        <v>0.8571428571428571</v>
      </c>
      <c r="AM114" s="150"/>
      <c r="AN114" s="150"/>
      <c r="AO114" s="150"/>
      <c r="AT114" s="150"/>
    </row>
    <row r="115" spans="1:52" ht="15.75" customHeight="1" x14ac:dyDescent="0.25">
      <c r="A115" s="19" t="s">
        <v>246</v>
      </c>
      <c r="E115" s="20" t="s">
        <v>247</v>
      </c>
      <c r="F115" s="20" t="s">
        <v>248</v>
      </c>
      <c r="G115" s="68"/>
      <c r="H115" s="68"/>
      <c r="I115" s="99"/>
      <c r="J115" s="90"/>
      <c r="K115" s="90"/>
      <c r="L115" s="90"/>
      <c r="M115" s="90"/>
      <c r="R115" s="15" t="s">
        <v>249</v>
      </c>
      <c r="S115" s="7">
        <f>COUNTIF(P59:P93,"si")</f>
        <v>32</v>
      </c>
      <c r="T115" s="7">
        <f>COUNTIF(P59:P93,"no")</f>
        <v>3</v>
      </c>
      <c r="U115" s="7">
        <f t="shared" si="269"/>
        <v>35</v>
      </c>
      <c r="V115" s="48">
        <f t="shared" si="268"/>
        <v>0.91428571428571426</v>
      </c>
      <c r="AM115" s="150"/>
      <c r="AN115" s="150"/>
      <c r="AO115" s="150"/>
      <c r="AT115" s="150"/>
    </row>
    <row r="116" spans="1:52" ht="15" customHeight="1" x14ac:dyDescent="0.25">
      <c r="A116" s="19" t="s">
        <v>250</v>
      </c>
      <c r="R116" s="15" t="s">
        <v>251</v>
      </c>
      <c r="S116" s="7">
        <f>COUNTIF(P94:P101,"si")</f>
        <v>8</v>
      </c>
      <c r="T116" s="7">
        <f>COUNTIF(P94:P101,"no")</f>
        <v>0</v>
      </c>
      <c r="U116" s="7">
        <f t="shared" si="269"/>
        <v>8</v>
      </c>
      <c r="V116" s="48">
        <f t="shared" si="268"/>
        <v>1</v>
      </c>
      <c r="AM116" s="150"/>
      <c r="AN116" s="150"/>
      <c r="AO116" s="150"/>
      <c r="AT116" s="150"/>
    </row>
    <row r="117" spans="1:52" ht="15" customHeight="1" x14ac:dyDescent="0.25">
      <c r="A117" s="19" t="s">
        <v>252</v>
      </c>
      <c r="E117" s="153"/>
      <c r="F117" s="153"/>
      <c r="G117" s="157"/>
      <c r="H117" s="157"/>
      <c r="I117" s="150"/>
      <c r="J117" s="158"/>
      <c r="K117" s="158"/>
      <c r="L117" s="158"/>
      <c r="M117" s="158"/>
      <c r="N117" s="153"/>
      <c r="O117" s="51"/>
      <c r="P117" s="51"/>
      <c r="Q117" s="51"/>
      <c r="R117" s="15" t="s">
        <v>253</v>
      </c>
      <c r="S117" s="7">
        <f>COUNTIF(P102:P106,"si")</f>
        <v>5</v>
      </c>
      <c r="T117" s="7">
        <f>COUNTIF(P102:P106,"no")</f>
        <v>0</v>
      </c>
      <c r="U117" s="7">
        <f t="shared" si="269"/>
        <v>5</v>
      </c>
      <c r="V117" s="48">
        <f t="shared" si="268"/>
        <v>1</v>
      </c>
      <c r="AM117" s="150"/>
      <c r="AN117" s="150"/>
      <c r="AO117" s="150"/>
      <c r="AT117" s="150"/>
    </row>
    <row r="118" spans="1:52" s="2" customFormat="1" ht="14.25" customHeight="1" x14ac:dyDescent="0.25">
      <c r="A118" s="19" t="s">
        <v>254</v>
      </c>
      <c r="B118" s="153"/>
      <c r="C118" s="153"/>
      <c r="D118" s="153"/>
      <c r="E118" s="159"/>
      <c r="F118" s="159"/>
      <c r="G118" s="157"/>
      <c r="H118" s="157"/>
      <c r="I118" s="150"/>
      <c r="J118" s="158"/>
      <c r="K118" s="158"/>
      <c r="L118" s="158"/>
      <c r="M118" s="158"/>
      <c r="N118" s="153"/>
      <c r="O118" s="153"/>
      <c r="P118" s="16"/>
      <c r="Q118" s="16"/>
      <c r="R118" s="267" t="s">
        <v>255</v>
      </c>
      <c r="S118" s="267"/>
      <c r="T118" s="267"/>
      <c r="U118" s="267"/>
      <c r="V118" s="267"/>
      <c r="W118" s="141"/>
      <c r="X118" s="141"/>
      <c r="Y118" s="141"/>
      <c r="Z118" s="141"/>
      <c r="AA118" s="141"/>
      <c r="AB118" s="157"/>
      <c r="AC118" s="115"/>
      <c r="AD118" s="115"/>
      <c r="AE118" s="157"/>
      <c r="AF118" s="141"/>
      <c r="AG118" s="141"/>
      <c r="AH118" s="141"/>
      <c r="AI118" s="115"/>
      <c r="AJ118" s="115"/>
      <c r="AK118" s="157"/>
      <c r="AL118" s="157"/>
      <c r="AM118" s="150"/>
      <c r="AN118" s="150"/>
      <c r="AO118" s="150"/>
      <c r="AP118" s="115"/>
      <c r="AQ118" s="115"/>
      <c r="AR118" s="157"/>
      <c r="AS118" s="157"/>
      <c r="AT118" s="150"/>
      <c r="AU118" s="141"/>
      <c r="AV118" s="141"/>
      <c r="AW118" s="115"/>
      <c r="AX118" s="115"/>
      <c r="AY118" s="157"/>
      <c r="AZ118" s="157"/>
    </row>
    <row r="119" spans="1:52" s="2" customFormat="1" x14ac:dyDescent="0.25">
      <c r="A119" s="268" t="s">
        <v>256</v>
      </c>
      <c r="B119" s="268"/>
      <c r="C119" s="268"/>
      <c r="D119" s="159"/>
      <c r="E119" s="159"/>
      <c r="F119" s="159"/>
      <c r="G119" s="157"/>
      <c r="H119" s="157"/>
      <c r="I119" s="150"/>
      <c r="J119" s="158"/>
      <c r="K119" s="158"/>
      <c r="L119" s="158"/>
      <c r="M119" s="158"/>
      <c r="N119" s="146"/>
      <c r="O119" s="146"/>
      <c r="P119" s="23"/>
      <c r="Q119" s="23"/>
      <c r="R119" s="153"/>
      <c r="S119" s="64">
        <f>SUM(S110:S117)</f>
        <v>87</v>
      </c>
      <c r="T119" s="10">
        <f>SUM(T110:T117)</f>
        <v>12</v>
      </c>
      <c r="U119" s="10">
        <f>S119+T119</f>
        <v>99</v>
      </c>
      <c r="V119" s="48">
        <f>AVERAGE(V110:V117)</f>
        <v>0.90476190476190477</v>
      </c>
      <c r="W119" s="141"/>
      <c r="X119" s="141"/>
      <c r="Y119" s="141"/>
      <c r="Z119" s="141"/>
      <c r="AA119" s="141"/>
      <c r="AB119" s="157"/>
      <c r="AC119" s="115"/>
      <c r="AD119" s="115"/>
      <c r="AE119" s="157"/>
      <c r="AF119" s="141"/>
      <c r="AG119" s="141"/>
      <c r="AH119" s="141"/>
      <c r="AI119" s="115"/>
      <c r="AJ119" s="115"/>
      <c r="AK119" s="157"/>
      <c r="AL119" s="157"/>
      <c r="AM119" s="150"/>
      <c r="AN119" s="150"/>
      <c r="AO119" s="150"/>
      <c r="AP119" s="115"/>
      <c r="AQ119" s="115"/>
      <c r="AR119" s="157"/>
      <c r="AS119" s="157"/>
      <c r="AT119" s="150"/>
      <c r="AU119" s="141"/>
      <c r="AV119" s="141"/>
      <c r="AW119" s="115"/>
      <c r="AX119" s="115"/>
      <c r="AY119" s="157"/>
      <c r="AZ119" s="157"/>
    </row>
    <row r="120" spans="1:52" s="1" customFormat="1" ht="16.5" customHeight="1" x14ac:dyDescent="0.25">
      <c r="A120" s="268"/>
      <c r="B120" s="268"/>
      <c r="C120" s="268"/>
      <c r="D120" s="159"/>
      <c r="E120" s="146"/>
      <c r="F120" s="21"/>
      <c r="G120" s="69"/>
      <c r="H120" s="69"/>
      <c r="I120" s="100"/>
      <c r="J120" s="91"/>
      <c r="K120" s="91"/>
      <c r="L120" s="91"/>
      <c r="M120" s="91"/>
      <c r="N120" s="21"/>
      <c r="O120" s="21"/>
      <c r="P120" s="23"/>
      <c r="Q120" s="23"/>
      <c r="R120" s="16"/>
      <c r="S120" s="146"/>
      <c r="T120" s="146"/>
      <c r="U120" s="146"/>
      <c r="V120" s="56"/>
      <c r="W120" s="124"/>
      <c r="X120" s="124"/>
      <c r="Y120" s="124"/>
      <c r="Z120" s="124"/>
      <c r="AA120" s="124"/>
      <c r="AB120" s="147"/>
      <c r="AC120" s="108"/>
      <c r="AD120" s="108"/>
      <c r="AE120" s="147"/>
      <c r="AF120" s="124"/>
      <c r="AG120" s="124"/>
      <c r="AH120" s="124"/>
      <c r="AI120" s="108"/>
      <c r="AJ120" s="108"/>
      <c r="AK120" s="147"/>
      <c r="AL120" s="147"/>
      <c r="AM120" s="150"/>
      <c r="AN120" s="150"/>
      <c r="AO120" s="150"/>
      <c r="AP120" s="108"/>
      <c r="AQ120" s="108"/>
      <c r="AR120" s="147"/>
      <c r="AS120" s="147"/>
      <c r="AT120" s="150"/>
      <c r="AU120" s="124"/>
      <c r="AV120" s="124"/>
      <c r="AW120" s="108"/>
      <c r="AX120" s="108"/>
      <c r="AY120" s="147"/>
      <c r="AZ120" s="147"/>
    </row>
    <row r="121" spans="1:52" s="1" customFormat="1" ht="26.25" x14ac:dyDescent="0.25">
      <c r="A121" s="52"/>
      <c r="B121" s="146"/>
      <c r="C121" s="146"/>
      <c r="D121" s="146"/>
      <c r="E121" s="146"/>
      <c r="F121" s="62"/>
      <c r="G121" s="70"/>
      <c r="H121" s="70"/>
      <c r="I121" s="101"/>
      <c r="J121" s="92"/>
      <c r="K121" s="92"/>
      <c r="L121" s="92"/>
      <c r="M121" s="92"/>
      <c r="N121" s="22"/>
      <c r="O121" s="22"/>
      <c r="P121" s="23"/>
      <c r="Q121" s="23"/>
      <c r="R121" s="146"/>
      <c r="S121" s="146"/>
      <c r="T121" s="146"/>
      <c r="U121" s="146"/>
      <c r="V121" s="56"/>
      <c r="W121" s="124"/>
      <c r="X121" s="124"/>
      <c r="Y121" s="124"/>
      <c r="Z121" s="124"/>
      <c r="AA121" s="124"/>
      <c r="AB121" s="147"/>
      <c r="AC121" s="108"/>
      <c r="AD121" s="108"/>
      <c r="AE121" s="147"/>
      <c r="AF121" s="124"/>
      <c r="AG121" s="124"/>
      <c r="AH121" s="124"/>
      <c r="AI121" s="108"/>
      <c r="AJ121" s="108"/>
      <c r="AK121" s="147"/>
      <c r="AL121" s="147"/>
      <c r="AM121" s="124"/>
      <c r="AN121" s="147"/>
      <c r="AO121" s="124"/>
      <c r="AP121" s="108"/>
      <c r="AQ121" s="108"/>
      <c r="AR121" s="147"/>
      <c r="AS121" s="147"/>
      <c r="AT121" s="124"/>
      <c r="AU121" s="124"/>
      <c r="AV121" s="124"/>
      <c r="AW121" s="108"/>
      <c r="AX121" s="108"/>
      <c r="AY121" s="147"/>
      <c r="AZ121" s="147"/>
    </row>
    <row r="122" spans="1:52" s="1" customFormat="1" ht="26.25" x14ac:dyDescent="0.25">
      <c r="A122" s="52"/>
      <c r="B122" s="146"/>
      <c r="C122" s="146"/>
      <c r="D122" s="146"/>
      <c r="E122" s="146"/>
      <c r="F122" s="146"/>
      <c r="G122" s="147"/>
      <c r="H122" s="147"/>
      <c r="I122" s="148"/>
      <c r="J122" s="149"/>
      <c r="K122" s="149"/>
      <c r="L122" s="149"/>
      <c r="M122" s="149"/>
      <c r="N122" s="146"/>
      <c r="O122" s="146"/>
      <c r="P122" s="23"/>
      <c r="Q122" s="23"/>
      <c r="R122" s="146"/>
      <c r="S122" s="146"/>
      <c r="T122" s="146"/>
      <c r="U122" s="146"/>
      <c r="V122" s="56"/>
      <c r="W122" s="124"/>
      <c r="X122" s="124"/>
      <c r="Y122" s="124"/>
      <c r="Z122" s="124"/>
      <c r="AA122" s="124"/>
      <c r="AB122" s="147"/>
      <c r="AC122" s="108"/>
      <c r="AD122" s="108"/>
      <c r="AE122" s="147"/>
      <c r="AF122" s="124"/>
      <c r="AG122" s="124"/>
      <c r="AH122" s="124"/>
      <c r="AI122" s="108"/>
      <c r="AJ122" s="108"/>
      <c r="AK122" s="147"/>
      <c r="AL122" s="147"/>
      <c r="AM122" s="124"/>
      <c r="AN122" s="147"/>
      <c r="AO122" s="124"/>
      <c r="AP122" s="108"/>
      <c r="AQ122" s="108"/>
      <c r="AR122" s="147"/>
      <c r="AS122" s="147"/>
      <c r="AT122" s="124"/>
      <c r="AU122" s="124"/>
      <c r="AV122" s="124"/>
      <c r="AW122" s="108"/>
      <c r="AX122" s="108"/>
      <c r="AY122" s="147"/>
      <c r="AZ122" s="147"/>
    </row>
    <row r="123" spans="1:52" s="1" customFormat="1" ht="26.25" x14ac:dyDescent="0.25">
      <c r="A123" s="52"/>
      <c r="B123" s="146"/>
      <c r="C123" s="146"/>
      <c r="D123" s="146"/>
      <c r="E123" s="146"/>
      <c r="F123" s="146"/>
      <c r="G123" s="147"/>
      <c r="H123" s="147"/>
      <c r="I123" s="148"/>
      <c r="J123" s="149"/>
      <c r="K123" s="149"/>
      <c r="L123" s="149"/>
      <c r="M123" s="149"/>
      <c r="N123" s="146"/>
      <c r="O123" s="146"/>
      <c r="P123" s="23"/>
      <c r="Q123" s="23"/>
      <c r="R123" s="146"/>
      <c r="S123" s="146"/>
      <c r="T123" s="146"/>
      <c r="U123" s="146"/>
      <c r="V123" s="56"/>
      <c r="W123" s="124"/>
      <c r="X123" s="124"/>
      <c r="Y123" s="124"/>
      <c r="Z123" s="124"/>
      <c r="AA123" s="124"/>
      <c r="AB123" s="147"/>
      <c r="AC123" s="108"/>
      <c r="AD123" s="108"/>
      <c r="AE123" s="147"/>
      <c r="AF123" s="124"/>
      <c r="AG123" s="124"/>
      <c r="AH123" s="124"/>
      <c r="AI123" s="108"/>
      <c r="AJ123" s="108"/>
      <c r="AK123" s="147"/>
      <c r="AL123" s="147"/>
      <c r="AM123" s="124"/>
      <c r="AN123" s="147"/>
      <c r="AO123" s="124"/>
      <c r="AP123" s="108"/>
      <c r="AQ123" s="108"/>
      <c r="AR123" s="147"/>
      <c r="AS123" s="147"/>
      <c r="AT123" s="124"/>
      <c r="AU123" s="124"/>
      <c r="AV123" s="124"/>
      <c r="AW123" s="108"/>
      <c r="AX123" s="108"/>
      <c r="AY123" s="147"/>
      <c r="AZ123" s="147"/>
    </row>
    <row r="124" spans="1:52" s="1" customFormat="1" ht="26.25" x14ac:dyDescent="0.25">
      <c r="A124" s="52"/>
      <c r="B124" s="146"/>
      <c r="C124" s="146"/>
      <c r="D124" s="146"/>
      <c r="E124" s="146"/>
      <c r="F124" s="146"/>
      <c r="G124" s="147"/>
      <c r="H124" s="147"/>
      <c r="I124" s="148"/>
      <c r="J124" s="149"/>
      <c r="K124" s="149"/>
      <c r="L124" s="149"/>
      <c r="M124" s="149"/>
      <c r="N124" s="146"/>
      <c r="O124" s="146"/>
      <c r="P124" s="23"/>
      <c r="Q124" s="23"/>
      <c r="R124" s="146"/>
      <c r="S124" s="146"/>
      <c r="T124" s="146"/>
      <c r="U124" s="146"/>
      <c r="V124" s="56"/>
      <c r="W124" s="124"/>
      <c r="X124" s="124"/>
      <c r="Y124" s="124"/>
      <c r="Z124" s="124"/>
      <c r="AA124" s="124"/>
      <c r="AB124" s="147"/>
      <c r="AC124" s="108"/>
      <c r="AD124" s="108"/>
      <c r="AE124" s="147"/>
      <c r="AF124" s="124"/>
      <c r="AG124" s="124"/>
      <c r="AH124" s="124"/>
      <c r="AI124" s="108"/>
      <c r="AJ124" s="108"/>
      <c r="AK124" s="147"/>
      <c r="AL124" s="147"/>
      <c r="AM124" s="124"/>
      <c r="AN124" s="147"/>
      <c r="AO124" s="124"/>
      <c r="AP124" s="108"/>
      <c r="AQ124" s="108"/>
      <c r="AR124" s="147"/>
      <c r="AS124" s="147"/>
      <c r="AT124" s="124"/>
      <c r="AU124" s="124"/>
      <c r="AV124" s="124"/>
      <c r="AW124" s="108"/>
      <c r="AX124" s="108"/>
      <c r="AY124" s="147"/>
      <c r="AZ124" s="147"/>
    </row>
    <row r="125" spans="1:52" s="1" customFormat="1" ht="26.25" x14ac:dyDescent="0.25">
      <c r="A125" s="52"/>
      <c r="B125" s="146"/>
      <c r="C125" s="146"/>
      <c r="D125" s="146"/>
      <c r="E125" s="146"/>
      <c r="F125" s="146"/>
      <c r="G125" s="147"/>
      <c r="H125" s="147"/>
      <c r="I125" s="148"/>
      <c r="J125" s="149"/>
      <c r="K125" s="149"/>
      <c r="L125" s="149"/>
      <c r="M125" s="149"/>
      <c r="N125" s="146"/>
      <c r="O125" s="146"/>
      <c r="P125" s="23"/>
      <c r="Q125" s="23"/>
      <c r="R125" s="146"/>
      <c r="S125" s="146"/>
      <c r="T125" s="146"/>
      <c r="U125" s="146"/>
      <c r="V125" s="56"/>
      <c r="W125" s="124"/>
      <c r="X125" s="124"/>
      <c r="Y125" s="124"/>
      <c r="Z125" s="124"/>
      <c r="AA125" s="124"/>
      <c r="AB125" s="147"/>
      <c r="AC125" s="108"/>
      <c r="AD125" s="108"/>
      <c r="AE125" s="147"/>
      <c r="AF125" s="124"/>
      <c r="AG125" s="124"/>
      <c r="AH125" s="124"/>
      <c r="AI125" s="108"/>
      <c r="AJ125" s="108"/>
      <c r="AK125" s="147"/>
      <c r="AL125" s="147"/>
      <c r="AM125" s="124"/>
      <c r="AN125" s="147"/>
      <c r="AO125" s="124"/>
      <c r="AP125" s="108"/>
      <c r="AQ125" s="108"/>
      <c r="AR125" s="147"/>
      <c r="AS125" s="147"/>
      <c r="AT125" s="124"/>
      <c r="AU125" s="124"/>
      <c r="AV125" s="124"/>
      <c r="AW125" s="108"/>
      <c r="AX125" s="108"/>
      <c r="AY125" s="147"/>
      <c r="AZ125" s="147"/>
    </row>
    <row r="126" spans="1:52" s="1" customFormat="1" ht="26.25" x14ac:dyDescent="0.25">
      <c r="A126" s="52"/>
      <c r="B126" s="146"/>
      <c r="C126" s="146"/>
      <c r="D126" s="146"/>
      <c r="E126" s="146"/>
      <c r="F126" s="146"/>
      <c r="G126" s="147"/>
      <c r="H126" s="147"/>
      <c r="I126" s="148"/>
      <c r="J126" s="149"/>
      <c r="K126" s="149"/>
      <c r="L126" s="149"/>
      <c r="M126" s="149"/>
      <c r="N126" s="146"/>
      <c r="O126" s="146"/>
      <c r="P126" s="23"/>
      <c r="Q126" s="23"/>
      <c r="R126" s="146"/>
      <c r="S126" s="146"/>
      <c r="T126" s="146"/>
      <c r="U126" s="146"/>
      <c r="V126" s="56"/>
      <c r="W126" s="124"/>
      <c r="X126" s="124"/>
      <c r="Y126" s="124"/>
      <c r="Z126" s="124"/>
      <c r="AA126" s="124"/>
      <c r="AB126" s="147"/>
      <c r="AC126" s="108"/>
      <c r="AD126" s="108"/>
      <c r="AE126" s="147"/>
      <c r="AF126" s="124"/>
      <c r="AG126" s="124"/>
      <c r="AH126" s="124"/>
      <c r="AI126" s="108"/>
      <c r="AJ126" s="108"/>
      <c r="AK126" s="147"/>
      <c r="AL126" s="147"/>
      <c r="AM126" s="124"/>
      <c r="AN126" s="147"/>
      <c r="AO126" s="124"/>
      <c r="AP126" s="108"/>
      <c r="AQ126" s="108"/>
      <c r="AR126" s="147"/>
      <c r="AS126" s="147"/>
      <c r="AT126" s="124"/>
      <c r="AU126" s="124"/>
      <c r="AV126" s="124"/>
      <c r="AW126" s="108"/>
      <c r="AX126" s="108"/>
      <c r="AY126" s="147"/>
      <c r="AZ126" s="147"/>
    </row>
    <row r="127" spans="1:52" s="1" customFormat="1" ht="26.25" x14ac:dyDescent="0.25">
      <c r="A127" s="52"/>
      <c r="B127" s="146"/>
      <c r="C127" s="146"/>
      <c r="D127" s="146"/>
      <c r="E127" s="146"/>
      <c r="F127" s="146"/>
      <c r="G127" s="147"/>
      <c r="H127" s="147"/>
      <c r="I127" s="148"/>
      <c r="J127" s="149"/>
      <c r="K127" s="149"/>
      <c r="L127" s="149"/>
      <c r="M127" s="149"/>
      <c r="N127" s="146"/>
      <c r="O127" s="146"/>
      <c r="P127" s="23"/>
      <c r="Q127" s="23"/>
      <c r="R127" s="146"/>
      <c r="S127" s="146"/>
      <c r="T127" s="146"/>
      <c r="U127" s="146"/>
      <c r="V127" s="56"/>
      <c r="W127" s="124"/>
      <c r="X127" s="124"/>
      <c r="Y127" s="124"/>
      <c r="Z127" s="124"/>
      <c r="AA127" s="124"/>
      <c r="AB127" s="147"/>
      <c r="AC127" s="108"/>
      <c r="AD127" s="108"/>
      <c r="AE127" s="147"/>
      <c r="AF127" s="124"/>
      <c r="AG127" s="124"/>
      <c r="AH127" s="124"/>
      <c r="AI127" s="108"/>
      <c r="AJ127" s="108"/>
      <c r="AK127" s="147"/>
      <c r="AL127" s="147"/>
      <c r="AM127" s="124"/>
      <c r="AN127" s="147"/>
      <c r="AO127" s="124"/>
      <c r="AP127" s="108"/>
      <c r="AQ127" s="108"/>
      <c r="AR127" s="147"/>
      <c r="AS127" s="147"/>
      <c r="AT127" s="124"/>
      <c r="AU127" s="124"/>
      <c r="AV127" s="124"/>
      <c r="AW127" s="108"/>
      <c r="AX127" s="108"/>
      <c r="AY127" s="147"/>
      <c r="AZ127" s="147"/>
    </row>
    <row r="128" spans="1:52" s="1" customFormat="1" ht="26.25" x14ac:dyDescent="0.25">
      <c r="A128" s="52"/>
      <c r="B128" s="146"/>
      <c r="C128" s="146"/>
      <c r="D128" s="146"/>
      <c r="E128" s="146"/>
      <c r="F128" s="146"/>
      <c r="G128" s="147"/>
      <c r="H128" s="147"/>
      <c r="I128" s="148"/>
      <c r="J128" s="149"/>
      <c r="K128" s="149"/>
      <c r="L128" s="149"/>
      <c r="M128" s="149"/>
      <c r="N128" s="146"/>
      <c r="O128" s="146"/>
      <c r="P128" s="23"/>
      <c r="Q128" s="23"/>
      <c r="R128" s="146"/>
      <c r="S128" s="146"/>
      <c r="T128" s="146"/>
      <c r="U128" s="146"/>
      <c r="V128" s="56"/>
      <c r="W128" s="124"/>
      <c r="X128" s="124"/>
      <c r="Y128" s="124"/>
      <c r="Z128" s="124"/>
      <c r="AA128" s="124"/>
      <c r="AB128" s="147"/>
      <c r="AC128" s="108"/>
      <c r="AD128" s="108"/>
      <c r="AE128" s="147"/>
      <c r="AF128" s="124"/>
      <c r="AG128" s="124"/>
      <c r="AH128" s="124"/>
      <c r="AI128" s="108"/>
      <c r="AJ128" s="108"/>
      <c r="AK128" s="147"/>
      <c r="AL128" s="147"/>
      <c r="AM128" s="124"/>
      <c r="AN128" s="147"/>
      <c r="AO128" s="124"/>
      <c r="AP128" s="108"/>
      <c r="AQ128" s="108"/>
      <c r="AR128" s="147"/>
      <c r="AS128" s="147"/>
      <c r="AT128" s="124"/>
      <c r="AU128" s="124"/>
      <c r="AV128" s="124"/>
      <c r="AW128" s="108"/>
      <c r="AX128" s="108"/>
      <c r="AY128" s="147"/>
      <c r="AZ128" s="147"/>
    </row>
    <row r="129" spans="1:52" s="1" customFormat="1" ht="26.25" x14ac:dyDescent="0.25">
      <c r="A129" s="52"/>
      <c r="B129" s="146"/>
      <c r="C129" s="146"/>
      <c r="D129" s="146"/>
      <c r="E129" s="17"/>
      <c r="F129" s="17"/>
      <c r="G129" s="66"/>
      <c r="H129" s="66"/>
      <c r="I129" s="97"/>
      <c r="J129" s="88"/>
      <c r="K129" s="88"/>
      <c r="L129" s="88"/>
      <c r="M129" s="88"/>
      <c r="N129" s="17"/>
      <c r="O129" s="17"/>
      <c r="P129" s="46"/>
      <c r="Q129" s="46"/>
      <c r="R129" s="146"/>
      <c r="S129" s="146"/>
      <c r="T129" s="146"/>
      <c r="U129" s="146"/>
      <c r="V129" s="56"/>
      <c r="W129" s="124"/>
      <c r="X129" s="124"/>
      <c r="Y129" s="124"/>
      <c r="Z129" s="124"/>
      <c r="AA129" s="124"/>
      <c r="AB129" s="147"/>
      <c r="AC129" s="108"/>
      <c r="AD129" s="108"/>
      <c r="AE129" s="147"/>
      <c r="AF129" s="124"/>
      <c r="AG129" s="124"/>
      <c r="AH129" s="124"/>
      <c r="AI129" s="108"/>
      <c r="AJ129" s="108"/>
      <c r="AK129" s="147"/>
      <c r="AL129" s="147"/>
      <c r="AM129" s="124"/>
      <c r="AN129" s="147"/>
      <c r="AO129" s="124"/>
      <c r="AP129" s="108"/>
      <c r="AQ129" s="108"/>
      <c r="AR129" s="147"/>
      <c r="AS129" s="147"/>
      <c r="AT129" s="124"/>
      <c r="AU129" s="124"/>
      <c r="AV129" s="124"/>
      <c r="AW129" s="108"/>
      <c r="AX129" s="108"/>
      <c r="AY129" s="147"/>
      <c r="AZ129" s="147"/>
    </row>
    <row r="130" spans="1:52" ht="26.25" x14ac:dyDescent="0.25">
      <c r="A130" s="53"/>
    </row>
    <row r="131" spans="1:52" ht="26.25" x14ac:dyDescent="0.25">
      <c r="A131" s="53"/>
      <c r="B131"/>
      <c r="C131"/>
      <c r="D131"/>
      <c r="E131"/>
      <c r="F131"/>
      <c r="G131" s="9"/>
      <c r="H131" s="9"/>
      <c r="I131" s="102"/>
      <c r="J131" s="93"/>
      <c r="K131" s="93"/>
      <c r="L131" s="93"/>
      <c r="M131" s="93"/>
      <c r="N131"/>
      <c r="O131"/>
      <c r="P131"/>
      <c r="Q131" s="116"/>
      <c r="R131"/>
      <c r="S131"/>
      <c r="T131"/>
      <c r="U131"/>
    </row>
    <row r="132" spans="1:52" ht="26.25" x14ac:dyDescent="0.25">
      <c r="A132" s="53"/>
      <c r="B132"/>
      <c r="C132"/>
      <c r="D132"/>
      <c r="E132"/>
      <c r="F132"/>
      <c r="G132" s="9"/>
      <c r="H132" s="9"/>
      <c r="I132" s="102"/>
      <c r="J132" s="93"/>
      <c r="K132" s="93"/>
      <c r="L132" s="93"/>
      <c r="M132" s="93"/>
      <c r="N132"/>
      <c r="O132"/>
      <c r="P132"/>
      <c r="Q132" s="116"/>
      <c r="R132"/>
      <c r="S132"/>
      <c r="T132"/>
      <c r="U132"/>
    </row>
    <row r="133" spans="1:52" ht="26.25" x14ac:dyDescent="0.25">
      <c r="A133" s="53"/>
      <c r="B133"/>
      <c r="C133"/>
      <c r="D133"/>
      <c r="E133"/>
      <c r="F133"/>
      <c r="G133" s="9"/>
      <c r="H133" s="9"/>
      <c r="I133" s="102"/>
      <c r="J133" s="93"/>
      <c r="K133" s="93"/>
      <c r="L133" s="93"/>
      <c r="M133" s="93"/>
      <c r="N133"/>
      <c r="O133"/>
      <c r="P133"/>
      <c r="Q133" s="116"/>
      <c r="R133"/>
      <c r="S133"/>
      <c r="T133"/>
      <c r="U133"/>
    </row>
  </sheetData>
  <autoFilter ref="A5:V106" xr:uid="{00000000-0001-0000-0000-000000000000}">
    <filterColumn colId="13" showButton="0"/>
    <filterColumn colId="18" showButton="0"/>
    <filterColumn colId="19" showButton="0"/>
  </autoFilter>
  <mergeCells count="69">
    <mergeCell ref="D99:D100"/>
    <mergeCell ref="D84:D85"/>
    <mergeCell ref="C88:C93"/>
    <mergeCell ref="D48:D50"/>
    <mergeCell ref="D37:D38"/>
    <mergeCell ref="C70:C77"/>
    <mergeCell ref="D41:D43"/>
    <mergeCell ref="D65:D67"/>
    <mergeCell ref="C65:C69"/>
    <mergeCell ref="D68:D69"/>
    <mergeCell ref="AZ5:AZ6"/>
    <mergeCell ref="AD5:AD6"/>
    <mergeCell ref="AE5:AE6"/>
    <mergeCell ref="AJ5:AJ6"/>
    <mergeCell ref="AK5:AK6"/>
    <mergeCell ref="AL5:AL6"/>
    <mergeCell ref="AQ5:AQ6"/>
    <mergeCell ref="AR5:AR6"/>
    <mergeCell ref="AS5:AS6"/>
    <mergeCell ref="AX5:AX6"/>
    <mergeCell ref="AY5:AY6"/>
    <mergeCell ref="R118:V118"/>
    <mergeCell ref="A119:C120"/>
    <mergeCell ref="V5:V6"/>
    <mergeCell ref="G5:G6"/>
    <mergeCell ref="B5:B6"/>
    <mergeCell ref="A5:A6"/>
    <mergeCell ref="C59:C64"/>
    <mergeCell ref="D59:D64"/>
    <mergeCell ref="N5:O5"/>
    <mergeCell ref="P5:P6"/>
    <mergeCell ref="D56:D57"/>
    <mergeCell ref="D52:D53"/>
    <mergeCell ref="C52:C58"/>
    <mergeCell ref="C103:C105"/>
    <mergeCell ref="D103:D105"/>
    <mergeCell ref="R5:R6"/>
    <mergeCell ref="S5:U5"/>
    <mergeCell ref="D10:D13"/>
    <mergeCell ref="R108:V108"/>
    <mergeCell ref="C84:C87"/>
    <mergeCell ref="C78:C83"/>
    <mergeCell ref="C31:C36"/>
    <mergeCell ref="D35:D36"/>
    <mergeCell ref="D89:D90"/>
    <mergeCell ref="D54:D55"/>
    <mergeCell ref="D80:D83"/>
    <mergeCell ref="D14:D16"/>
    <mergeCell ref="D39:D40"/>
    <mergeCell ref="D78:D79"/>
    <mergeCell ref="D95:D98"/>
    <mergeCell ref="C94:C101"/>
    <mergeCell ref="C37:C50"/>
    <mergeCell ref="I5:I6"/>
    <mergeCell ref="Q5:Q6"/>
    <mergeCell ref="N7:O7"/>
    <mergeCell ref="C7:C9"/>
    <mergeCell ref="D22:D24"/>
    <mergeCell ref="C22:C30"/>
    <mergeCell ref="C10:C20"/>
    <mergeCell ref="C5:C6"/>
    <mergeCell ref="D5:D6"/>
    <mergeCell ref="E5:E6"/>
    <mergeCell ref="F5:F6"/>
    <mergeCell ref="D8:D9"/>
    <mergeCell ref="H5:H6"/>
    <mergeCell ref="D19:D20"/>
    <mergeCell ref="D26:D30"/>
    <mergeCell ref="N18:O18"/>
  </mergeCells>
  <phoneticPr fontId="28" type="noConversion"/>
  <conditionalFormatting sqref="P7">
    <cfRule type="cellIs" dxfId="18" priority="3" operator="equal">
      <formula>"si"</formula>
    </cfRule>
    <cfRule type="containsText" dxfId="17" priority="4" operator="containsText" text="no">
      <formula>NOT(ISERROR(SEARCH("no",P7)))</formula>
    </cfRule>
    <cfRule type="cellIs" dxfId="16" priority="5" operator="equal">
      <formula>"Si"</formula>
    </cfRule>
  </conditionalFormatting>
  <conditionalFormatting sqref="P8:Q100 P102:Q106">
    <cfRule type="containsText" dxfId="15" priority="38" operator="containsText" text="no">
      <formula>NOT(ISERROR(SEARCH("no",P8)))</formula>
    </cfRule>
    <cfRule type="cellIs" dxfId="14" priority="39" operator="equal">
      <formula>"Si"</formula>
    </cfRule>
  </conditionalFormatting>
  <conditionalFormatting sqref="P8:Q106">
    <cfRule type="cellIs" dxfId="13" priority="12" operator="equal">
      <formula>"si"</formula>
    </cfRule>
  </conditionalFormatting>
  <conditionalFormatting sqref="P66:Q66">
    <cfRule type="containsText" dxfId="12" priority="13" operator="containsText" text="no">
      <formula>NOT(ISERROR(SEARCH("no",P66)))</formula>
    </cfRule>
    <cfRule type="cellIs" dxfId="11" priority="14" operator="equal">
      <formula>"Si"</formula>
    </cfRule>
  </conditionalFormatting>
  <conditionalFormatting sqref="P101:Q101">
    <cfRule type="containsText" dxfId="10" priority="1" operator="containsText" text="no">
      <formula>NOT(ISERROR(SEARCH("no",P101)))</formula>
    </cfRule>
    <cfRule type="cellIs" dxfId="9" priority="2" operator="equal">
      <formula>"Si"</formula>
    </cfRule>
  </conditionalFormatting>
  <conditionalFormatting sqref="V110:V117">
    <cfRule type="cellIs" dxfId="8" priority="55" operator="lessThanOrEqual">
      <formula>0.79</formula>
    </cfRule>
    <cfRule type="cellIs" dxfId="7" priority="56" operator="between">
      <formula>0.79</formula>
      <formula>0.9</formula>
    </cfRule>
    <cfRule type="cellIs" dxfId="6" priority="57" operator="greaterThanOrEqual">
      <formula>0.9</formula>
    </cfRule>
  </conditionalFormatting>
  <conditionalFormatting sqref="V119">
    <cfRule type="cellIs" dxfId="5" priority="52" operator="greaterThanOrEqual">
      <formula>0.9</formula>
    </cfRule>
    <cfRule type="cellIs" dxfId="4" priority="53" operator="between">
      <formula>0.79</formula>
      <formula>0.9</formula>
    </cfRule>
    <cfRule type="cellIs" dxfId="3" priority="54" operator="lessThanOrEqual">
      <formula>0.79</formula>
    </cfRule>
  </conditionalFormatting>
  <pageMargins left="0.51181102362204722" right="0.51181102362204722" top="0.74803149606299213" bottom="0.55118110236220474" header="0.31496062992125984" footer="0.31496062992125984"/>
  <pageSetup scale="45" orientation="landscape" r:id="rId1"/>
  <ignoredErrors>
    <ignoredError sqref="V110 V111:V112 V119 V114:V117" evalError="1"/>
    <ignoredError sqref="AC21 AC63 AE21 AC102:AC103 AE102:AE103 AK85 AR85 AY85 AI88 AI29:AI32 AI21 AI63 AI26:AI27 AE91 AC91 AC22:AC32 AE22:AE32 AK88 AL60 AS60 AZ60 AC86:AC89 AE63 AP32 AP88 AR88 AE92:AE99 AC92:AC99 AC64:AC78 AE64:AE89 AC79:AC8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5249-5A7B-4E24-B922-9D784131A091}">
  <dimension ref="B3:F34"/>
  <sheetViews>
    <sheetView topLeftCell="A10" workbookViewId="0">
      <selection activeCell="D37" sqref="D37"/>
    </sheetView>
  </sheetViews>
  <sheetFormatPr baseColWidth="10" defaultColWidth="11.42578125" defaultRowHeight="15" x14ac:dyDescent="0.25"/>
  <sheetData>
    <row r="3" spans="2:5" x14ac:dyDescent="0.25">
      <c r="B3" s="282">
        <v>2023</v>
      </c>
      <c r="C3" s="222" t="s">
        <v>276</v>
      </c>
      <c r="D3" s="222" t="s">
        <v>277</v>
      </c>
      <c r="E3" s="222" t="s">
        <v>278</v>
      </c>
    </row>
    <row r="4" spans="2:5" x14ac:dyDescent="0.25">
      <c r="B4" s="282"/>
      <c r="C4" s="222" t="s">
        <v>279</v>
      </c>
      <c r="D4" s="222" t="s">
        <v>280</v>
      </c>
      <c r="E4" s="222" t="s">
        <v>278</v>
      </c>
    </row>
    <row r="5" spans="2:5" x14ac:dyDescent="0.25">
      <c r="B5" s="282">
        <v>2024</v>
      </c>
      <c r="C5" s="222" t="s">
        <v>281</v>
      </c>
      <c r="D5" s="222" t="s">
        <v>282</v>
      </c>
      <c r="E5" s="222" t="s">
        <v>278</v>
      </c>
    </row>
    <row r="6" spans="2:5" x14ac:dyDescent="0.25">
      <c r="B6" s="282"/>
      <c r="C6" s="222" t="s">
        <v>283</v>
      </c>
      <c r="D6" s="222" t="s">
        <v>284</v>
      </c>
      <c r="E6" s="222" t="s">
        <v>278</v>
      </c>
    </row>
    <row r="7" spans="2:5" x14ac:dyDescent="0.25">
      <c r="B7" s="282"/>
      <c r="C7" s="222" t="s">
        <v>285</v>
      </c>
      <c r="D7" s="222" t="s">
        <v>282</v>
      </c>
      <c r="E7" s="222" t="s">
        <v>278</v>
      </c>
    </row>
    <row r="8" spans="2:5" x14ac:dyDescent="0.25">
      <c r="B8" s="282"/>
      <c r="C8" s="222" t="s">
        <v>286</v>
      </c>
      <c r="D8" s="222" t="s">
        <v>284</v>
      </c>
      <c r="E8" s="222" t="s">
        <v>278</v>
      </c>
    </row>
    <row r="9" spans="2:5" x14ac:dyDescent="0.25">
      <c r="B9" s="282"/>
      <c r="C9" s="222" t="s">
        <v>287</v>
      </c>
      <c r="D9" s="222" t="s">
        <v>284</v>
      </c>
      <c r="E9" s="222" t="s">
        <v>278</v>
      </c>
    </row>
    <row r="10" spans="2:5" x14ac:dyDescent="0.25">
      <c r="B10" s="282"/>
      <c r="C10" s="222" t="s">
        <v>288</v>
      </c>
      <c r="D10" s="222" t="s">
        <v>289</v>
      </c>
      <c r="E10" s="222" t="s">
        <v>278</v>
      </c>
    </row>
    <row r="11" spans="2:5" x14ac:dyDescent="0.25">
      <c r="B11" s="282"/>
      <c r="C11" s="222" t="s">
        <v>290</v>
      </c>
      <c r="D11" s="222" t="s">
        <v>284</v>
      </c>
      <c r="E11" s="222" t="s">
        <v>278</v>
      </c>
    </row>
    <row r="12" spans="2:5" x14ac:dyDescent="0.25">
      <c r="B12" s="282"/>
      <c r="C12" s="222" t="s">
        <v>291</v>
      </c>
      <c r="D12" s="222" t="s">
        <v>284</v>
      </c>
      <c r="E12" s="222" t="s">
        <v>278</v>
      </c>
    </row>
    <row r="13" spans="2:5" x14ac:dyDescent="0.25">
      <c r="B13" s="282"/>
      <c r="C13" s="222" t="s">
        <v>292</v>
      </c>
      <c r="D13" s="222" t="s">
        <v>293</v>
      </c>
      <c r="E13" s="222" t="s">
        <v>278</v>
      </c>
    </row>
    <row r="14" spans="2:5" x14ac:dyDescent="0.25">
      <c r="B14" s="283">
        <v>2025</v>
      </c>
      <c r="C14" s="222" t="s">
        <v>281</v>
      </c>
      <c r="D14" s="222" t="s">
        <v>293</v>
      </c>
      <c r="E14" s="222" t="s">
        <v>278</v>
      </c>
    </row>
    <row r="15" spans="2:5" x14ac:dyDescent="0.25">
      <c r="B15" s="284"/>
      <c r="C15" s="222" t="s">
        <v>283</v>
      </c>
      <c r="D15" s="222" t="s">
        <v>289</v>
      </c>
      <c r="E15" s="222" t="s">
        <v>278</v>
      </c>
    </row>
    <row r="16" spans="2:5" x14ac:dyDescent="0.25">
      <c r="B16" s="284"/>
      <c r="C16" s="222" t="s">
        <v>285</v>
      </c>
      <c r="D16" s="222" t="s">
        <v>289</v>
      </c>
      <c r="E16" s="222" t="s">
        <v>278</v>
      </c>
    </row>
    <row r="17" spans="2:6" x14ac:dyDescent="0.25">
      <c r="B17" s="284"/>
      <c r="C17" s="222" t="s">
        <v>286</v>
      </c>
      <c r="D17" s="222" t="s">
        <v>282</v>
      </c>
      <c r="E17" s="222" t="s">
        <v>278</v>
      </c>
    </row>
    <row r="18" spans="2:6" x14ac:dyDescent="0.25">
      <c r="B18" s="284"/>
      <c r="C18" s="222" t="s">
        <v>287</v>
      </c>
      <c r="D18" s="222" t="s">
        <v>294</v>
      </c>
      <c r="E18" s="222" t="s">
        <v>278</v>
      </c>
    </row>
    <row r="19" spans="2:6" x14ac:dyDescent="0.25">
      <c r="B19" s="284"/>
      <c r="C19" s="222" t="s">
        <v>288</v>
      </c>
      <c r="D19" s="222" t="s">
        <v>282</v>
      </c>
      <c r="E19" s="222" t="s">
        <v>278</v>
      </c>
    </row>
    <row r="20" spans="2:6" x14ac:dyDescent="0.25">
      <c r="B20" s="284"/>
      <c r="C20" s="222" t="s">
        <v>290</v>
      </c>
      <c r="D20" s="222" t="s">
        <v>293</v>
      </c>
      <c r="E20" s="222" t="s">
        <v>278</v>
      </c>
    </row>
    <row r="21" spans="2:6" x14ac:dyDescent="0.25">
      <c r="B21" s="284"/>
      <c r="C21" s="223" t="s">
        <v>291</v>
      </c>
      <c r="D21" s="223" t="s">
        <v>284</v>
      </c>
      <c r="E21" s="223" t="s">
        <v>295</v>
      </c>
    </row>
    <row r="22" spans="2:6" x14ac:dyDescent="0.25">
      <c r="B22" s="284"/>
      <c r="C22" s="222" t="s">
        <v>292</v>
      </c>
      <c r="D22" s="222" t="s">
        <v>293</v>
      </c>
      <c r="E22" s="222" t="s">
        <v>278</v>
      </c>
    </row>
    <row r="23" spans="2:6" x14ac:dyDescent="0.25">
      <c r="B23" s="284"/>
      <c r="C23" s="222" t="s">
        <v>296</v>
      </c>
      <c r="D23" s="222" t="s">
        <v>282</v>
      </c>
      <c r="E23" s="222" t="s">
        <v>278</v>
      </c>
    </row>
    <row r="24" spans="2:6" x14ac:dyDescent="0.25">
      <c r="B24" s="284"/>
      <c r="C24" s="222" t="s">
        <v>297</v>
      </c>
      <c r="D24" s="222" t="s">
        <v>298</v>
      </c>
      <c r="E24" s="222" t="s">
        <v>278</v>
      </c>
    </row>
    <row r="25" spans="2:6" x14ac:dyDescent="0.25">
      <c r="B25" s="285"/>
      <c r="C25" s="223" t="s">
        <v>299</v>
      </c>
      <c r="D25" s="223" t="s">
        <v>293</v>
      </c>
      <c r="E25" s="223" t="s">
        <v>295</v>
      </c>
    </row>
    <row r="26" spans="2:6" x14ac:dyDescent="0.25">
      <c r="B26" s="282">
        <v>2026</v>
      </c>
      <c r="C26" s="222" t="s">
        <v>281</v>
      </c>
      <c r="D26" s="222" t="s">
        <v>282</v>
      </c>
      <c r="E26" s="222" t="s">
        <v>278</v>
      </c>
      <c r="F26" s="228"/>
    </row>
    <row r="27" spans="2:6" x14ac:dyDescent="0.25">
      <c r="B27" s="282"/>
      <c r="C27" s="222" t="s">
        <v>283</v>
      </c>
      <c r="D27" s="222" t="s">
        <v>293</v>
      </c>
      <c r="E27" s="222" t="s">
        <v>278</v>
      </c>
    </row>
    <row r="28" spans="2:6" x14ac:dyDescent="0.25">
      <c r="B28" s="282"/>
      <c r="C28" s="223" t="s">
        <v>285</v>
      </c>
      <c r="D28" s="223" t="s">
        <v>293</v>
      </c>
      <c r="E28" s="223" t="s">
        <v>295</v>
      </c>
    </row>
    <row r="29" spans="2:6" x14ac:dyDescent="0.25">
      <c r="B29" s="282"/>
      <c r="C29" s="229" t="s">
        <v>286</v>
      </c>
      <c r="D29" s="229" t="s">
        <v>469</v>
      </c>
      <c r="E29" s="229" t="s">
        <v>295</v>
      </c>
    </row>
    <row r="30" spans="2:6" x14ac:dyDescent="0.25">
      <c r="B30" s="282"/>
      <c r="C30" s="222" t="s">
        <v>287</v>
      </c>
      <c r="D30" s="222" t="s">
        <v>282</v>
      </c>
      <c r="E30" s="222" t="s">
        <v>278</v>
      </c>
    </row>
    <row r="31" spans="2:6" x14ac:dyDescent="0.25">
      <c r="B31" s="282"/>
      <c r="C31" s="237" t="s">
        <v>288</v>
      </c>
      <c r="D31" s="237" t="s">
        <v>345</v>
      </c>
      <c r="E31" s="237" t="s">
        <v>278</v>
      </c>
    </row>
    <row r="32" spans="2:6" x14ac:dyDescent="0.25">
      <c r="B32" s="282"/>
      <c r="C32" s="223" t="s">
        <v>290</v>
      </c>
      <c r="D32" s="223" t="s">
        <v>293</v>
      </c>
      <c r="E32" s="223" t="s">
        <v>295</v>
      </c>
    </row>
    <row r="33" spans="2:5" x14ac:dyDescent="0.25">
      <c r="B33" s="282"/>
      <c r="C33" s="223" t="s">
        <v>291</v>
      </c>
      <c r="D33" s="223" t="s">
        <v>282</v>
      </c>
      <c r="E33" s="223" t="s">
        <v>295</v>
      </c>
    </row>
    <row r="34" spans="2:5" x14ac:dyDescent="0.25">
      <c r="B34" s="282"/>
      <c r="C34" s="223" t="s">
        <v>292</v>
      </c>
      <c r="D34" s="223" t="s">
        <v>468</v>
      </c>
      <c r="E34" s="223" t="s">
        <v>295</v>
      </c>
    </row>
  </sheetData>
  <mergeCells count="4">
    <mergeCell ref="B3:B4"/>
    <mergeCell ref="B5:B13"/>
    <mergeCell ref="B14:B25"/>
    <mergeCell ref="B26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A789-9C6A-4400-8066-F2AA87556338}">
  <dimension ref="C5:G35"/>
  <sheetViews>
    <sheetView topLeftCell="A19" workbookViewId="0">
      <selection activeCell="D36" sqref="D36"/>
    </sheetView>
  </sheetViews>
  <sheetFormatPr baseColWidth="10" defaultColWidth="11.42578125" defaultRowHeight="15" x14ac:dyDescent="0.25"/>
  <cols>
    <col min="4" max="4" width="30.42578125" bestFit="1" customWidth="1"/>
    <col min="5" max="5" width="48.28515625" customWidth="1"/>
  </cols>
  <sheetData>
    <row r="5" spans="3:7" x14ac:dyDescent="0.25">
      <c r="C5" s="175" t="s">
        <v>88</v>
      </c>
      <c r="D5" s="214" t="s">
        <v>89</v>
      </c>
      <c r="E5" s="60" t="s">
        <v>90</v>
      </c>
      <c r="F5" s="64" t="str">
        <f>'OOMRSC-05'!P21</f>
        <v>SI</v>
      </c>
      <c r="G5" s="64">
        <f>'OOMRSC-05'!Q21</f>
        <v>0</v>
      </c>
    </row>
    <row r="6" spans="3:7" ht="28.5" x14ac:dyDescent="0.25">
      <c r="C6" s="260" t="s">
        <v>88</v>
      </c>
      <c r="D6" s="215" t="s">
        <v>209</v>
      </c>
      <c r="E6" s="60" t="s">
        <v>266</v>
      </c>
      <c r="F6" s="64" t="str">
        <f>'OOMRSC-05'!P94</f>
        <v>SI</v>
      </c>
      <c r="G6" s="64">
        <f>'OOMRSC-05'!Q94</f>
        <v>100</v>
      </c>
    </row>
    <row r="7" spans="3:7" x14ac:dyDescent="0.25">
      <c r="C7" s="261"/>
      <c r="D7" s="287" t="s">
        <v>204</v>
      </c>
      <c r="E7" s="11" t="s">
        <v>211</v>
      </c>
      <c r="F7" s="64" t="str">
        <f>'OOMRSC-05'!P95</f>
        <v>SI</v>
      </c>
      <c r="G7" s="64">
        <f>'OOMRSC-05'!Q95</f>
        <v>100</v>
      </c>
    </row>
    <row r="8" spans="3:7" ht="28.5" x14ac:dyDescent="0.25">
      <c r="C8" s="261"/>
      <c r="D8" s="288"/>
      <c r="E8" s="60" t="s">
        <v>212</v>
      </c>
      <c r="F8" s="64" t="str">
        <f>'OOMRSC-05'!P96</f>
        <v>SI</v>
      </c>
      <c r="G8" s="64">
        <f>'OOMRSC-05'!Q96</f>
        <v>100</v>
      </c>
    </row>
    <row r="9" spans="3:7" ht="28.5" x14ac:dyDescent="0.25">
      <c r="C9" s="261"/>
      <c r="D9" s="288"/>
      <c r="E9" s="60" t="s">
        <v>213</v>
      </c>
      <c r="F9" s="64" t="str">
        <f>'OOMRSC-05'!P97</f>
        <v>SI</v>
      </c>
      <c r="G9" s="64">
        <f>'OOMRSC-05'!Q97</f>
        <v>100</v>
      </c>
    </row>
    <row r="10" spans="3:7" x14ac:dyDescent="0.25">
      <c r="C10" s="261"/>
      <c r="D10" s="289"/>
      <c r="E10" s="60" t="s">
        <v>214</v>
      </c>
      <c r="F10" s="64" t="str">
        <f>'OOMRSC-05'!P98</f>
        <v>SI</v>
      </c>
      <c r="G10" s="64">
        <f>'OOMRSC-05'!Q98</f>
        <v>100</v>
      </c>
    </row>
    <row r="11" spans="3:7" ht="28.5" x14ac:dyDescent="0.25">
      <c r="C11" s="261"/>
      <c r="D11" s="290" t="s">
        <v>215</v>
      </c>
      <c r="E11" s="60" t="s">
        <v>267</v>
      </c>
      <c r="F11" s="64" t="str">
        <f>'OOMRSC-05'!P99</f>
        <v>SI</v>
      </c>
      <c r="G11" s="64">
        <f>'OOMRSC-05'!Q99</f>
        <v>100</v>
      </c>
    </row>
    <row r="12" spans="3:7" x14ac:dyDescent="0.25">
      <c r="C12" s="261"/>
      <c r="D12" s="291"/>
      <c r="E12" s="165" t="s">
        <v>217</v>
      </c>
      <c r="F12" s="64" t="str">
        <f>'OOMRSC-05'!P100</f>
        <v>SI</v>
      </c>
      <c r="G12" s="64">
        <f>'OOMRSC-05'!Q100</f>
        <v>100</v>
      </c>
    </row>
    <row r="13" spans="3:7" ht="28.5" x14ac:dyDescent="0.25">
      <c r="C13" s="261"/>
      <c r="D13" s="214" t="s">
        <v>89</v>
      </c>
      <c r="E13" s="60" t="s">
        <v>218</v>
      </c>
      <c r="F13" s="64" t="str">
        <f>'OOMRSC-05'!P101</f>
        <v>SI</v>
      </c>
      <c r="G13" s="64">
        <f>'OOMRSC-05'!Q101</f>
        <v>100</v>
      </c>
    </row>
    <row r="14" spans="3:7" x14ac:dyDescent="0.25">
      <c r="C14" s="212"/>
      <c r="D14" s="213"/>
      <c r="E14" s="216"/>
      <c r="F14" s="8">
        <f>COUNTIF(F5:F13,"si")</f>
        <v>9</v>
      </c>
      <c r="G14" s="217">
        <f>F14/9</f>
        <v>1</v>
      </c>
    </row>
    <row r="15" spans="3:7" x14ac:dyDescent="0.25">
      <c r="C15" s="212"/>
      <c r="D15" s="213"/>
      <c r="E15" s="216"/>
      <c r="F15" s="8"/>
      <c r="G15" s="8"/>
    </row>
    <row r="16" spans="3:7" x14ac:dyDescent="0.25">
      <c r="C16" s="260" t="s">
        <v>88</v>
      </c>
      <c r="D16" s="173" t="s">
        <v>107</v>
      </c>
      <c r="E16" s="61" t="s">
        <v>108</v>
      </c>
      <c r="F16" s="64" t="str">
        <f>'OOMRSC-05'!P31</f>
        <v>SI</v>
      </c>
      <c r="G16" s="64">
        <f>'OOMRSC-05'!Q31</f>
        <v>103</v>
      </c>
    </row>
    <row r="17" spans="3:7" ht="28.5" x14ac:dyDescent="0.25">
      <c r="C17" s="261"/>
      <c r="D17" s="174" t="s">
        <v>109</v>
      </c>
      <c r="E17" s="60" t="s">
        <v>110</v>
      </c>
      <c r="F17" s="64" t="str">
        <f>'OOMRSC-05'!P32</f>
        <v>SI</v>
      </c>
      <c r="G17" s="64">
        <f>'OOMRSC-05'!Q32</f>
        <v>0</v>
      </c>
    </row>
    <row r="18" spans="3:7" ht="42.75" x14ac:dyDescent="0.25">
      <c r="C18" s="261"/>
      <c r="D18" s="175" t="s">
        <v>112</v>
      </c>
      <c r="E18" s="60" t="s">
        <v>113</v>
      </c>
      <c r="F18" s="64" t="str">
        <f>'OOMRSC-05'!P33</f>
        <v>SI</v>
      </c>
      <c r="G18" s="64">
        <f>'OOMRSC-05'!Q33</f>
        <v>100</v>
      </c>
    </row>
    <row r="19" spans="3:7" ht="30" x14ac:dyDescent="0.25">
      <c r="C19" s="261"/>
      <c r="D19" s="173" t="s">
        <v>114</v>
      </c>
      <c r="E19" s="165" t="s">
        <v>115</v>
      </c>
      <c r="F19" s="64" t="str">
        <f>'OOMRSC-05'!P34</f>
        <v>SI</v>
      </c>
      <c r="G19" s="64">
        <f>'OOMRSC-05'!Q34</f>
        <v>107</v>
      </c>
    </row>
    <row r="20" spans="3:7" ht="45" x14ac:dyDescent="0.25">
      <c r="C20" s="261"/>
      <c r="D20" s="292" t="s">
        <v>116</v>
      </c>
      <c r="E20" s="165" t="s">
        <v>117</v>
      </c>
      <c r="F20" s="64" t="str">
        <f>'OOMRSC-05'!P35</f>
        <v>SI</v>
      </c>
      <c r="G20" s="64">
        <f>'OOMRSC-05'!Q35</f>
        <v>0</v>
      </c>
    </row>
    <row r="21" spans="3:7" ht="45" x14ac:dyDescent="0.25">
      <c r="C21" s="262"/>
      <c r="D21" s="293"/>
      <c r="E21" s="165" t="s">
        <v>268</v>
      </c>
      <c r="F21" s="64" t="str">
        <f>'OOMRSC-05'!P36</f>
        <v>SI</v>
      </c>
      <c r="G21" s="64">
        <f>'OOMRSC-05'!Q36</f>
        <v>100</v>
      </c>
    </row>
    <row r="22" spans="3:7" ht="28.5" x14ac:dyDescent="0.25">
      <c r="C22" s="244" t="s">
        <v>88</v>
      </c>
      <c r="D22" s="247" t="s">
        <v>109</v>
      </c>
      <c r="E22" s="61" t="s">
        <v>149</v>
      </c>
      <c r="F22" s="64" t="str">
        <f>'OOMRSC-05'!P52</f>
        <v>SI</v>
      </c>
      <c r="G22" s="64">
        <f>'OOMRSC-05'!Q52</f>
        <v>875</v>
      </c>
    </row>
    <row r="23" spans="3:7" ht="28.5" x14ac:dyDescent="0.25">
      <c r="C23" s="245"/>
      <c r="D23" s="249"/>
      <c r="E23" s="61" t="s">
        <v>151</v>
      </c>
      <c r="F23" s="64" t="str">
        <f>'OOMRSC-05'!P53</f>
        <v>SI</v>
      </c>
      <c r="G23" s="64">
        <f>'OOMRSC-05'!Q53</f>
        <v>0</v>
      </c>
    </row>
    <row r="24" spans="3:7" ht="28.5" x14ac:dyDescent="0.25">
      <c r="C24" s="245"/>
      <c r="D24" s="247" t="s">
        <v>112</v>
      </c>
      <c r="E24" s="60" t="s">
        <v>153</v>
      </c>
      <c r="F24" s="64" t="str">
        <f>'OOMRSC-05'!P54</f>
        <v>SI</v>
      </c>
      <c r="G24" s="64">
        <f>'OOMRSC-05'!Q54</f>
        <v>3797664</v>
      </c>
    </row>
    <row r="25" spans="3:7" x14ac:dyDescent="0.25">
      <c r="C25" s="245"/>
      <c r="D25" s="249"/>
      <c r="E25" s="216" t="s">
        <v>155</v>
      </c>
      <c r="F25" s="64" t="str">
        <f>'OOMRSC-05'!P55</f>
        <v>NO</v>
      </c>
      <c r="G25" s="64">
        <f>'OOMRSC-05'!Q55</f>
        <v>57</v>
      </c>
    </row>
    <row r="26" spans="3:7" x14ac:dyDescent="0.25">
      <c r="C26" s="245"/>
      <c r="D26" s="247" t="s">
        <v>114</v>
      </c>
      <c r="E26" s="61" t="s">
        <v>156</v>
      </c>
      <c r="F26" s="64" t="str">
        <f>'OOMRSC-05'!P56</f>
        <v>SI</v>
      </c>
      <c r="G26" s="64">
        <f>'OOMRSC-05'!Q56</f>
        <v>100</v>
      </c>
    </row>
    <row r="27" spans="3:7" ht="30" x14ac:dyDescent="0.25">
      <c r="C27" s="245"/>
      <c r="D27" s="249"/>
      <c r="E27" s="216" t="s">
        <v>158</v>
      </c>
      <c r="F27" s="64" t="str">
        <f>'OOMRSC-05'!P57</f>
        <v>SI</v>
      </c>
      <c r="G27" s="64">
        <f>'OOMRSC-05'!Q57</f>
        <v>100</v>
      </c>
    </row>
    <row r="28" spans="3:7" x14ac:dyDescent="0.25">
      <c r="C28" s="246"/>
      <c r="D28" s="161" t="s">
        <v>116</v>
      </c>
      <c r="E28" s="61" t="s">
        <v>159</v>
      </c>
      <c r="F28" s="64" t="str">
        <f>'OOMRSC-05'!P58</f>
        <v>SI</v>
      </c>
      <c r="G28" s="64">
        <f>'OOMRSC-05'!Q58</f>
        <v>1241188</v>
      </c>
    </row>
    <row r="29" spans="3:7" ht="42.75" x14ac:dyDescent="0.25">
      <c r="C29" s="286" t="s">
        <v>88</v>
      </c>
      <c r="D29" s="166" t="s">
        <v>109</v>
      </c>
      <c r="E29" s="60" t="s">
        <v>200</v>
      </c>
      <c r="F29" s="64" t="str">
        <f>'OOMRSC-05'!P88</f>
        <v>SI</v>
      </c>
      <c r="G29" s="64">
        <f>'OOMRSC-05'!Q88</f>
        <v>1</v>
      </c>
    </row>
    <row r="30" spans="3:7" x14ac:dyDescent="0.25">
      <c r="C30" s="286"/>
      <c r="D30" s="247" t="s">
        <v>114</v>
      </c>
      <c r="E30" s="60" t="s">
        <v>201</v>
      </c>
      <c r="F30" s="64" t="str">
        <f>'OOMRSC-05'!P89</f>
        <v>SI</v>
      </c>
      <c r="G30" s="64">
        <f>'OOMRSC-05'!Q89</f>
        <v>142</v>
      </c>
    </row>
    <row r="31" spans="3:7" x14ac:dyDescent="0.25">
      <c r="C31" s="286"/>
      <c r="D31" s="249"/>
      <c r="E31" s="165" t="s">
        <v>202</v>
      </c>
      <c r="F31" s="64" t="str">
        <f>'OOMRSC-05'!P90</f>
        <v>SI</v>
      </c>
      <c r="G31" s="64">
        <f>'OOMRSC-05'!Q90</f>
        <v>100</v>
      </c>
    </row>
    <row r="32" spans="3:7" x14ac:dyDescent="0.25">
      <c r="C32" s="286"/>
      <c r="D32" s="173" t="s">
        <v>116</v>
      </c>
      <c r="E32" s="60" t="s">
        <v>269</v>
      </c>
      <c r="F32" s="64" t="str">
        <f>'OOMRSC-05'!P91</f>
        <v>SI</v>
      </c>
      <c r="G32" s="64">
        <f>'OOMRSC-05'!Q91</f>
        <v>103.22</v>
      </c>
    </row>
    <row r="33" spans="3:7" x14ac:dyDescent="0.25">
      <c r="C33" s="31"/>
      <c r="F33" s="8">
        <f>COUNTIF(F16:F32,"si")</f>
        <v>16</v>
      </c>
      <c r="G33" s="217">
        <f>F33/17</f>
        <v>0.94117647058823528</v>
      </c>
    </row>
    <row r="34" spans="3:7" x14ac:dyDescent="0.25">
      <c r="C34" s="31"/>
    </row>
    <row r="35" spans="3:7" x14ac:dyDescent="0.25">
      <c r="C35" s="31"/>
    </row>
  </sheetData>
  <mergeCells count="11">
    <mergeCell ref="C6:C13"/>
    <mergeCell ref="D7:D10"/>
    <mergeCell ref="D11:D12"/>
    <mergeCell ref="C16:C21"/>
    <mergeCell ref="D20:D21"/>
    <mergeCell ref="C22:C28"/>
    <mergeCell ref="D22:D23"/>
    <mergeCell ref="D24:D25"/>
    <mergeCell ref="D26:D27"/>
    <mergeCell ref="C29:C32"/>
    <mergeCell ref="D30:D31"/>
  </mergeCells>
  <conditionalFormatting sqref="F5:G33">
    <cfRule type="cellIs" dxfId="2" priority="1" operator="equal">
      <formula>"si"</formula>
    </cfRule>
    <cfRule type="containsText" dxfId="1" priority="2" operator="containsText" text="no">
      <formula>NOT(ISERROR(SEARCH("no",F5)))</formula>
    </cfRule>
    <cfRule type="cellIs" dxfId="0" priority="3" operator="equal">
      <formula>"Si"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8326-B040-4068-994E-6B920DE08AF7}">
  <dimension ref="B3:M14"/>
  <sheetViews>
    <sheetView workbookViewId="0">
      <selection sqref="A1:XFD1048576"/>
    </sheetView>
  </sheetViews>
  <sheetFormatPr baseColWidth="10" defaultColWidth="11.42578125" defaultRowHeight="15" x14ac:dyDescent="0.25"/>
  <cols>
    <col min="2" max="2" width="14.140625" customWidth="1"/>
    <col min="3" max="3" width="13" customWidth="1"/>
    <col min="4" max="4" width="13.7109375" customWidth="1"/>
    <col min="5" max="5" width="13.85546875" customWidth="1"/>
    <col min="6" max="6" width="14.28515625" customWidth="1"/>
    <col min="7" max="7" width="14.140625" customWidth="1"/>
    <col min="8" max="8" width="13.140625" customWidth="1"/>
    <col min="9" max="9" width="14" customWidth="1"/>
    <col min="10" max="10" width="13.7109375" customWidth="1"/>
    <col min="11" max="12" width="13.140625" customWidth="1"/>
    <col min="13" max="13" width="13.28515625" customWidth="1"/>
  </cols>
  <sheetData>
    <row r="3" spans="2:13" s="66" customFormat="1" ht="18.75" x14ac:dyDescent="0.25">
      <c r="B3" s="294" t="s">
        <v>442</v>
      </c>
      <c r="C3" s="295"/>
      <c r="D3" s="295"/>
      <c r="E3" s="295"/>
      <c r="F3" s="296"/>
    </row>
    <row r="4" spans="2:13" s="66" customFormat="1" ht="19.5" customHeight="1" x14ac:dyDescent="0.25">
      <c r="B4" s="25" t="s">
        <v>11</v>
      </c>
      <c r="C4" s="25" t="s">
        <v>30</v>
      </c>
      <c r="D4" s="25" t="s">
        <v>31</v>
      </c>
      <c r="E4" s="25" t="s">
        <v>32</v>
      </c>
      <c r="F4" s="25" t="s">
        <v>33</v>
      </c>
      <c r="H4" s="218" t="s">
        <v>270</v>
      </c>
    </row>
    <row r="5" spans="2:13" s="66" customFormat="1" ht="21" customHeight="1" x14ac:dyDescent="0.25">
      <c r="B5" s="219">
        <v>95</v>
      </c>
      <c r="C5" s="219">
        <v>24</v>
      </c>
      <c r="D5" s="219">
        <v>24</v>
      </c>
      <c r="E5" s="219">
        <v>24</v>
      </c>
      <c r="F5" s="219">
        <v>23</v>
      </c>
    </row>
    <row r="6" spans="2:13" s="66" customFormat="1" x14ac:dyDescent="0.25"/>
    <row r="7" spans="2:13" s="66" customFormat="1" ht="18.75" x14ac:dyDescent="0.25">
      <c r="B7" s="294" t="s">
        <v>271</v>
      </c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</row>
    <row r="8" spans="2:13" s="66" customFormat="1" x14ac:dyDescent="0.25">
      <c r="B8" s="119" t="s">
        <v>39</v>
      </c>
      <c r="C8" s="119" t="s">
        <v>40</v>
      </c>
      <c r="D8" s="119" t="s">
        <v>41</v>
      </c>
      <c r="E8" s="119" t="s">
        <v>43</v>
      </c>
      <c r="F8" s="119" t="s">
        <v>44</v>
      </c>
      <c r="G8" s="119" t="s">
        <v>45</v>
      </c>
      <c r="H8" s="119" t="s">
        <v>47</v>
      </c>
      <c r="I8" s="119" t="s">
        <v>48</v>
      </c>
      <c r="J8" s="119" t="s">
        <v>49</v>
      </c>
      <c r="K8" s="119" t="s">
        <v>51</v>
      </c>
      <c r="L8" s="119" t="s">
        <v>52</v>
      </c>
      <c r="M8" s="119" t="s">
        <v>53</v>
      </c>
    </row>
    <row r="9" spans="2:13" s="66" customFormat="1" ht="21.75" customHeight="1" x14ac:dyDescent="0.25">
      <c r="B9" s="220">
        <v>100</v>
      </c>
      <c r="C9" s="220">
        <v>100</v>
      </c>
      <c r="D9" s="220">
        <v>100</v>
      </c>
      <c r="E9" s="220">
        <v>100</v>
      </c>
      <c r="F9" s="220">
        <v>100</v>
      </c>
      <c r="G9" s="220">
        <v>100</v>
      </c>
      <c r="H9" s="220"/>
      <c r="I9" s="220"/>
      <c r="J9" s="220"/>
      <c r="K9" s="219"/>
      <c r="L9" s="219"/>
      <c r="M9" s="219"/>
    </row>
    <row r="10" spans="2:13" s="66" customFormat="1" x14ac:dyDescent="0.25">
      <c r="K10" s="218" t="s">
        <v>272</v>
      </c>
    </row>
    <row r="11" spans="2:13" s="66" customFormat="1" ht="18.75" x14ac:dyDescent="0.25">
      <c r="B11" s="294" t="s">
        <v>273</v>
      </c>
      <c r="C11" s="295"/>
      <c r="D11" s="295"/>
      <c r="E11" s="295"/>
      <c r="F11" s="295"/>
      <c r="G11" s="295"/>
      <c r="H11" s="295"/>
      <c r="I11" s="295"/>
    </row>
    <row r="12" spans="2:13" s="66" customFormat="1" ht="21.75" customHeight="1" x14ac:dyDescent="0.25">
      <c r="B12" s="297" t="s">
        <v>30</v>
      </c>
      <c r="C12" s="298"/>
      <c r="D12" s="297" t="s">
        <v>31</v>
      </c>
      <c r="E12" s="298"/>
      <c r="F12" s="297" t="s">
        <v>32</v>
      </c>
      <c r="G12" s="298"/>
      <c r="H12" s="297" t="s">
        <v>33</v>
      </c>
      <c r="I12" s="298"/>
    </row>
    <row r="13" spans="2:13" s="66" customFormat="1" x14ac:dyDescent="0.25">
      <c r="B13" s="119" t="s">
        <v>274</v>
      </c>
      <c r="C13" s="119" t="s">
        <v>275</v>
      </c>
      <c r="D13" s="119" t="s">
        <v>274</v>
      </c>
      <c r="E13" s="119" t="s">
        <v>275</v>
      </c>
      <c r="F13" s="119" t="s">
        <v>274</v>
      </c>
      <c r="G13" s="119" t="s">
        <v>275</v>
      </c>
      <c r="H13" s="119" t="s">
        <v>274</v>
      </c>
      <c r="I13" s="119" t="s">
        <v>275</v>
      </c>
    </row>
    <row r="14" spans="2:13" ht="21.75" customHeight="1" x14ac:dyDescent="0.25">
      <c r="B14" s="221">
        <f>C5</f>
        <v>24</v>
      </c>
      <c r="C14" s="221">
        <f>(AVERAGE(B9:D9)*(C5))/B5</f>
        <v>25.263157894736842</v>
      </c>
      <c r="D14" s="221">
        <f>C5+D5</f>
        <v>48</v>
      </c>
      <c r="E14" s="221">
        <f>((AVERAGE(E9:G9)*(D5))/B5)+C14</f>
        <v>50.526315789473685</v>
      </c>
      <c r="F14" s="221">
        <f>C5+D5+E5</f>
        <v>72</v>
      </c>
      <c r="G14" s="221" t="e">
        <f>((AVERAGE(H9:J9)*(E5))/B5)+E14</f>
        <v>#DIV/0!</v>
      </c>
      <c r="H14" s="221">
        <f>C5+D5+E5+F5</f>
        <v>95</v>
      </c>
      <c r="I14" s="221" t="e">
        <f>((AVERAGE(K9:M9)*(F5))/B5)+G14</f>
        <v>#DIV/0!</v>
      </c>
    </row>
  </sheetData>
  <mergeCells count="7">
    <mergeCell ref="B3:F3"/>
    <mergeCell ref="B7:M7"/>
    <mergeCell ref="B11:I11"/>
    <mergeCell ref="B12:C12"/>
    <mergeCell ref="D12:E12"/>
    <mergeCell ref="F12:G12"/>
    <mergeCell ref="H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42DB-D250-4B85-9457-E942E2AD536C}">
  <dimension ref="B3:M14"/>
  <sheetViews>
    <sheetView workbookViewId="0">
      <selection activeCell="C16" sqref="C16"/>
    </sheetView>
  </sheetViews>
  <sheetFormatPr baseColWidth="10" defaultColWidth="11.42578125" defaultRowHeight="15" x14ac:dyDescent="0.25"/>
  <cols>
    <col min="2" max="2" width="14.140625" customWidth="1"/>
    <col min="3" max="3" width="13" customWidth="1"/>
    <col min="4" max="4" width="13.7109375" customWidth="1"/>
    <col min="5" max="5" width="13.85546875" customWidth="1"/>
    <col min="6" max="6" width="14.28515625" customWidth="1"/>
    <col min="7" max="7" width="14.140625" customWidth="1"/>
    <col min="8" max="8" width="13.140625" customWidth="1"/>
    <col min="9" max="9" width="14" customWidth="1"/>
    <col min="10" max="10" width="13.7109375" customWidth="1"/>
    <col min="11" max="12" width="13.140625" customWidth="1"/>
    <col min="13" max="13" width="13.28515625" customWidth="1"/>
  </cols>
  <sheetData>
    <row r="3" spans="2:13" s="66" customFormat="1" ht="18.75" x14ac:dyDescent="0.25">
      <c r="B3" s="294" t="s">
        <v>442</v>
      </c>
      <c r="C3" s="295"/>
      <c r="D3" s="295"/>
      <c r="E3" s="295"/>
      <c r="F3" s="296"/>
    </row>
    <row r="4" spans="2:13" s="66" customFormat="1" ht="19.5" customHeight="1" x14ac:dyDescent="0.25">
      <c r="B4" s="25" t="s">
        <v>11</v>
      </c>
      <c r="C4" s="25" t="s">
        <v>30</v>
      </c>
      <c r="D4" s="25" t="s">
        <v>31</v>
      </c>
      <c r="E4" s="25" t="s">
        <v>32</v>
      </c>
      <c r="F4" s="25" t="s">
        <v>33</v>
      </c>
      <c r="H4" s="218" t="s">
        <v>270</v>
      </c>
    </row>
    <row r="5" spans="2:13" s="66" customFormat="1" ht="21" customHeight="1" x14ac:dyDescent="0.25">
      <c r="B5" s="219">
        <v>90</v>
      </c>
      <c r="C5" s="219">
        <v>22</v>
      </c>
      <c r="D5" s="219">
        <v>23</v>
      </c>
      <c r="E5" s="219">
        <v>22</v>
      </c>
      <c r="F5" s="219">
        <v>23</v>
      </c>
    </row>
    <row r="6" spans="2:13" s="66" customFormat="1" x14ac:dyDescent="0.25"/>
    <row r="7" spans="2:13" s="66" customFormat="1" ht="18.75" x14ac:dyDescent="0.25">
      <c r="B7" s="294" t="s">
        <v>271</v>
      </c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</row>
    <row r="8" spans="2:13" s="66" customFormat="1" x14ac:dyDescent="0.25">
      <c r="B8" s="119" t="s">
        <v>39</v>
      </c>
      <c r="C8" s="119" t="s">
        <v>40</v>
      </c>
      <c r="D8" s="119" t="s">
        <v>41</v>
      </c>
      <c r="E8" s="119" t="s">
        <v>43</v>
      </c>
      <c r="F8" s="119" t="s">
        <v>44</v>
      </c>
      <c r="G8" s="119" t="s">
        <v>45</v>
      </c>
      <c r="H8" s="119" t="s">
        <v>47</v>
      </c>
      <c r="I8" s="119" t="s">
        <v>48</v>
      </c>
      <c r="J8" s="119" t="s">
        <v>49</v>
      </c>
      <c r="K8" s="119" t="s">
        <v>51</v>
      </c>
      <c r="L8" s="119" t="s">
        <v>52</v>
      </c>
      <c r="M8" s="119" t="s">
        <v>53</v>
      </c>
    </row>
    <row r="9" spans="2:13" s="66" customFormat="1" ht="21.75" customHeight="1" x14ac:dyDescent="0.25">
      <c r="B9" s="235" t="s">
        <v>443</v>
      </c>
      <c r="C9" s="235" t="s">
        <v>443</v>
      </c>
      <c r="D9" s="220">
        <v>93</v>
      </c>
      <c r="E9" s="235" t="s">
        <v>443</v>
      </c>
      <c r="F9" s="235" t="s">
        <v>443</v>
      </c>
      <c r="G9" s="220">
        <v>93</v>
      </c>
      <c r="H9" s="235" t="s">
        <v>443</v>
      </c>
      <c r="I9" s="235" t="s">
        <v>443</v>
      </c>
      <c r="J9" s="220">
        <v>100</v>
      </c>
      <c r="K9" s="235" t="s">
        <v>443</v>
      </c>
      <c r="L9" s="235" t="s">
        <v>443</v>
      </c>
      <c r="M9" s="219">
        <v>100</v>
      </c>
    </row>
    <row r="10" spans="2:13" s="66" customFormat="1" x14ac:dyDescent="0.25">
      <c r="K10" s="218" t="s">
        <v>272</v>
      </c>
    </row>
    <row r="11" spans="2:13" s="66" customFormat="1" ht="18.75" x14ac:dyDescent="0.25">
      <c r="B11" s="294" t="s">
        <v>273</v>
      </c>
      <c r="C11" s="295"/>
      <c r="D11" s="295"/>
      <c r="E11" s="295"/>
      <c r="F11" s="295"/>
      <c r="G11" s="295"/>
      <c r="H11" s="295"/>
      <c r="I11" s="295"/>
    </row>
    <row r="12" spans="2:13" s="66" customFormat="1" ht="21.75" customHeight="1" x14ac:dyDescent="0.25">
      <c r="B12" s="297" t="s">
        <v>30</v>
      </c>
      <c r="C12" s="298"/>
      <c r="D12" s="297" t="s">
        <v>31</v>
      </c>
      <c r="E12" s="298"/>
      <c r="F12" s="297" t="s">
        <v>32</v>
      </c>
      <c r="G12" s="298"/>
      <c r="H12" s="297" t="s">
        <v>33</v>
      </c>
      <c r="I12" s="298"/>
    </row>
    <row r="13" spans="2:13" s="66" customFormat="1" x14ac:dyDescent="0.25">
      <c r="B13" s="119" t="s">
        <v>274</v>
      </c>
      <c r="C13" s="119" t="s">
        <v>275</v>
      </c>
      <c r="D13" s="119" t="s">
        <v>274</v>
      </c>
      <c r="E13" s="119" t="s">
        <v>275</v>
      </c>
      <c r="F13" s="119" t="s">
        <v>274</v>
      </c>
      <c r="G13" s="119" t="s">
        <v>275</v>
      </c>
      <c r="H13" s="119" t="s">
        <v>274</v>
      </c>
      <c r="I13" s="119" t="s">
        <v>275</v>
      </c>
    </row>
    <row r="14" spans="2:13" ht="21.75" customHeight="1" x14ac:dyDescent="0.25">
      <c r="B14" s="221">
        <f>C5</f>
        <v>22</v>
      </c>
      <c r="C14" s="221">
        <f>D9*C5/B5</f>
        <v>22.733333333333334</v>
      </c>
      <c r="D14" s="221">
        <f>C5+D5</f>
        <v>45</v>
      </c>
      <c r="E14" s="221">
        <f>(G9*D5/B5)+C14</f>
        <v>46.5</v>
      </c>
      <c r="F14" s="221">
        <f>C5+D5+E5</f>
        <v>67</v>
      </c>
      <c r="G14" s="221">
        <f>(J9*E5/B5)+E14</f>
        <v>70.944444444444443</v>
      </c>
      <c r="H14" s="221">
        <f>C5+D5+E5+F5</f>
        <v>90</v>
      </c>
      <c r="I14" s="221">
        <f>(M9*F5/B5)+G14</f>
        <v>96.5</v>
      </c>
    </row>
  </sheetData>
  <mergeCells count="7">
    <mergeCell ref="B3:F3"/>
    <mergeCell ref="B7:M7"/>
    <mergeCell ref="B11:I11"/>
    <mergeCell ref="B12:C12"/>
    <mergeCell ref="D12:E12"/>
    <mergeCell ref="F12:G12"/>
    <mergeCell ref="H12:I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FEFCBC19A1F343895C1EA79FC0313B" ma:contentTypeVersion="5" ma:contentTypeDescription="Crear nuevo documento." ma:contentTypeScope="" ma:versionID="0e72b530ee353276b416b35413699cdf">
  <xsd:schema xmlns:xsd="http://www.w3.org/2001/XMLSchema" xmlns:xs="http://www.w3.org/2001/XMLSchema" xmlns:p="http://schemas.microsoft.com/office/2006/metadata/properties" xmlns:ns3="aee8043d-b818-4423-84cf-acce41fe0a74" targetNamespace="http://schemas.microsoft.com/office/2006/metadata/properties" ma:root="true" ma:fieldsID="72b7c47beab327ec999978f22a1aa0ae" ns3:_="">
    <xsd:import namespace="aee8043d-b818-4423-84cf-acce41fe0a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043d-b818-4423-84cf-acce41fe0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76417-756E-44CC-A3E1-DB3128A7ED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D4E1B31-9F7E-4D68-B05B-12FF03B9A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8043d-b818-4423-84cf-acce41fe0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082E53-FBC3-4E2B-BF26-F06EF89A97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OOMRSC-05</vt:lpstr>
      <vt:lpstr>REPORTES DE CORRECCIÓN</vt:lpstr>
      <vt:lpstr>Hoja1</vt:lpstr>
      <vt:lpstr>Hoja2</vt:lpstr>
      <vt:lpstr>Hoja3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gmartinez</dc:creator>
  <cp:keywords/>
  <dc:description/>
  <cp:lastModifiedBy>Héctor Manuel Páez León</cp:lastModifiedBy>
  <cp:revision/>
  <dcterms:created xsi:type="dcterms:W3CDTF">2010-01-28T06:01:55Z</dcterms:created>
  <dcterms:modified xsi:type="dcterms:W3CDTF">2026-08-31T17:53:00Z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0x0101000FFEFCBC19A1F343895C1EA79FC0313B</vt:lpwstr>
  </property>
</Properties>
</file>