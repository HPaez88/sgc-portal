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0d8857ba2bb3e5/Favorites/Escritorio/SGC page/formatos/"/>
    </mc:Choice>
  </mc:AlternateContent>
  <xr:revisionPtr revIDLastSave="2" documentId="13_ncr:1_{D23F82A9-0640-4484-AC7F-8F5388A91A4F}" xr6:coauthVersionLast="47" xr6:coauthVersionMax="47" xr10:uidLastSave="{EB835396-7867-4529-86C6-12ED9DE2CD73}"/>
  <bookViews>
    <workbookView xWindow="-108" yWindow="-108" windowWidth="30936" windowHeight="18696" activeTab="4" xr2:uid="{44245106-0ABE-432B-B4A0-DD35C5A80BFA}"/>
  </bookViews>
  <sheets>
    <sheet name="REGISTRO" sheetId="4" r:id="rId1"/>
    <sheet name="ANÁLISIS" sheetId="7" r:id="rId2"/>
    <sheet name="ACTIVIDADES" sheetId="5" r:id="rId3"/>
    <sheet name="CRITERIOS!" sheetId="8" r:id="rId4"/>
    <sheet name="DATOS " sheetId="3" r:id="rId5"/>
    <sheet name="AUDITOR" sheetId="6" state="veryHidden" r:id="rId6"/>
  </sheets>
  <definedNames>
    <definedName name="_xlnm.Print_Area" localSheetId="2">ACTIVIDADES!$A$1:$I$25</definedName>
    <definedName name="_xlnm.Print_Area" localSheetId="1">ANÁLISIS!$A$1:$J$19</definedName>
    <definedName name="_xlnm.Print_Area" localSheetId="5">AUDITOR!$B$1:$L$22</definedName>
    <definedName name="_xlnm.Print_Area" localSheetId="3">'CRITERIOS!'!$A$1:$X$45</definedName>
    <definedName name="_xlnm.Print_Area" localSheetId="0">REGISTRO!$A$1:$U$39</definedName>
    <definedName name="Hoy" localSheetId="2">TODAY()</definedName>
    <definedName name="Hoy" localSheetId="1">TODAY()</definedName>
    <definedName name="Hoy" localSheetId="5">TODAY()</definedName>
    <definedName name="integrantes">REGISTRO!$C$29:$J$32</definedName>
    <definedName name="Lista_Verificación">ACTIVIDADES!$N$2</definedName>
    <definedName name="Procesos">Tabla3[Procesos]</definedName>
    <definedName name="PROGRESO_FECHAS">_xlfn.LAMBDA(_xlpm.Fecha_Inicio,_xlpm.Fecha_término,IFERROR(IF(_xlpm.Fecha_término="","",(IF(TODAY()&gt;=_xlpm.Fecha_término,1,IF(((DATEDIF(_xlpm.Fecha_Inicio,TODAY(),"D"))/DATEDIF(_xlpm.Fecha_Inicio,_xlpm.Fecha_término,"D"))&gt;100,1,((DATEDIF(_xlpm.Fecha_Inicio,TODAY(),"D"))/DATEDIF(_xlpm.Fecha_Inicio,_xlpm.Fecha_término,"D")))))),""))</definedName>
    <definedName name="_xlnm.Print_Titles" localSheetId="2">ACTIVIDADES!$8:$8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A8" i="7"/>
  <c r="I2" i="5"/>
  <c r="I4" i="5"/>
  <c r="I6" i="5"/>
  <c r="D7" i="7" l="1" a="1"/>
  <c r="D7" i="7" s="1"/>
  <c r="D9" i="5" l="1" a="1"/>
  <c r="D9" i="5" s="1"/>
  <c r="I1" i="5"/>
  <c r="D10" i="5" l="1" a="1"/>
  <c r="D10" i="5" s="1"/>
  <c r="D11" i="5" a="1"/>
  <c r="D11" i="5" s="1"/>
  <c r="D12" i="5" a="1"/>
  <c r="D12" i="5" s="1"/>
  <c r="D13" i="5" a="1"/>
  <c r="D13" i="5" s="1"/>
  <c r="I1" i="7"/>
  <c r="I8" i="7" l="1"/>
  <c r="G20" i="6"/>
  <c r="I10" i="7"/>
  <c r="I9" i="7"/>
  <c r="I2" i="6" l="1"/>
  <c r="I11" i="7" l="1"/>
  <c r="J8" i="7" s="1"/>
  <c r="J10" i="7" l="1"/>
  <c r="J11" i="7"/>
  <c r="A9" i="7"/>
  <c r="A10" i="7" l="1"/>
  <c r="A11" i="7" s="1"/>
  <c r="J9" i="7"/>
  <c r="D4" i="3" l="1" a="1"/>
  <c r="C4" i="3"/>
  <c r="C7" i="3"/>
  <c r="C6" i="3"/>
  <c r="C5" i="3"/>
  <c r="A101" i="7"/>
  <c r="D4" i="3" l="1"/>
  <c r="G4" i="3" s="1"/>
  <c r="G6" i="3"/>
  <c r="G7" i="3"/>
  <c r="G5" i="3"/>
  <c r="B2" i="6" l="1"/>
  <c r="E4" i="3"/>
  <c r="E5" i="3" s="1"/>
  <c r="E6" i="3" s="1"/>
  <c r="F4" i="3"/>
  <c r="F5" i="3" s="1"/>
  <c r="F6" i="3" s="1"/>
  <c r="F7" i="3" s="1"/>
  <c r="B15" i="5" a="1"/>
  <c r="B15" i="5" s="1"/>
  <c r="H6" i="3" l="1"/>
  <c r="H4" i="3"/>
  <c r="H5" i="3"/>
  <c r="H7" i="3"/>
  <c r="E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<sst xmlns="http://schemas.openxmlformats.org/spreadsheetml/2006/main" count="405" uniqueCount="390">
  <si>
    <t>Folio:</t>
  </si>
  <si>
    <t>Origen:</t>
  </si>
  <si>
    <t>Nombre:</t>
  </si>
  <si>
    <t>Puesto:</t>
  </si>
  <si>
    <t>Firma:</t>
  </si>
  <si>
    <t>FOLIO:</t>
  </si>
  <si>
    <t>ACCIÓN CONTENEDORA:</t>
  </si>
  <si>
    <t>ACTIVIDAD:</t>
  </si>
  <si>
    <t>RESPONSABLE:</t>
  </si>
  <si>
    <t>FECHA:</t>
  </si>
  <si>
    <t>TOTAL</t>
  </si>
  <si>
    <t>%</t>
  </si>
  <si>
    <t>Área</t>
  </si>
  <si>
    <t>Mantenimiento de Redes</t>
  </si>
  <si>
    <t>Arochin@oomapasc.gob.mx;</t>
  </si>
  <si>
    <t>Alcantarillado y Saneamiento</t>
  </si>
  <si>
    <t>?</t>
  </si>
  <si>
    <t>lbadillo@oomapasc.gob.mx;</t>
  </si>
  <si>
    <t>Comunicación e Imagen Institucional</t>
  </si>
  <si>
    <t>administradoresmesatemp@oomapasc.gob.mx;</t>
  </si>
  <si>
    <t>Plantas Potabilizadoras</t>
  </si>
  <si>
    <t>providencia@oomapasc.gob.mx;</t>
  </si>
  <si>
    <t>Contabilidad</t>
  </si>
  <si>
    <t>central2@oomapasc.gob.mx;</t>
  </si>
  <si>
    <t>Contratos y Servicios</t>
  </si>
  <si>
    <t>Pyaqui@oomapasc.gob.mx;</t>
  </si>
  <si>
    <t>Control de Calidad</t>
  </si>
  <si>
    <t>pyaqui2@oomapasc.gob.mx;</t>
  </si>
  <si>
    <t>Sistema de Gestión de Calidad</t>
  </si>
  <si>
    <t>Vbonita@oomapasc.gob.mx;</t>
  </si>
  <si>
    <t>Informática</t>
  </si>
  <si>
    <t>Awallmart@oomapasc.gob.mx;</t>
  </si>
  <si>
    <t>Jurídico</t>
  </si>
  <si>
    <t>akbasculas@oomapasc.gob.mx;</t>
  </si>
  <si>
    <t>Licitaciones</t>
  </si>
  <si>
    <t>rsuarez@oomapasc.gob.mx;</t>
  </si>
  <si>
    <t>Línea OOMAPASC</t>
  </si>
  <si>
    <t>Arojas@oomapasc.gob.mx;</t>
  </si>
  <si>
    <t>Mantenimiento y Servicios Generales</t>
  </si>
  <si>
    <t>mantenimiento@oomapasc.gob.mx;</t>
  </si>
  <si>
    <t>Órgano de Control Interno</t>
  </si>
  <si>
    <t>agonzalez@oomapasc.gob.mx;</t>
  </si>
  <si>
    <t>Padrón de Usuarios</t>
  </si>
  <si>
    <t>ahiguera@oomapasc.gob.mx;</t>
  </si>
  <si>
    <t>Control y Servicios</t>
  </si>
  <si>
    <t>amedina@oomapasc.gob.mx;</t>
  </si>
  <si>
    <t>Proyectos e Infraestructura</t>
  </si>
  <si>
    <t>jtorres@oomapasc.gob.mx;</t>
  </si>
  <si>
    <t>Recursos Materiales</t>
  </si>
  <si>
    <t>acastro@oomapasc.gob.mx;</t>
  </si>
  <si>
    <t>Recursos Humanos</t>
  </si>
  <si>
    <t>tssuburbano@oomapasc.gob.mx;</t>
  </si>
  <si>
    <t>Seguridad Industrial</t>
  </si>
  <si>
    <t>almacen@oomapasc.gob.mx;</t>
  </si>
  <si>
    <t>Agencia Pueblo Yaqui</t>
  </si>
  <si>
    <t>aosuna@oomapasc.gob.mx;</t>
  </si>
  <si>
    <t>Agencia Esperanza</t>
  </si>
  <si>
    <t>compras@oomapasc.gob.mx;</t>
  </si>
  <si>
    <t>Agencia Marte R. Gómez</t>
  </si>
  <si>
    <t>areynoso@oomapasc.gob.mx;</t>
  </si>
  <si>
    <t>Agencia Providencia</t>
  </si>
  <si>
    <t>capacitacion@oomapasc.gob.mx;</t>
  </si>
  <si>
    <t>Suburbano Técnico</t>
  </si>
  <si>
    <t>Doroz@oomapasc.gob.mx;</t>
  </si>
  <si>
    <t>Supervisión y control de obras</t>
  </si>
  <si>
    <t>aaguero@oomapasc.gob.mx;</t>
  </si>
  <si>
    <t>Trabajo Social</t>
  </si>
  <si>
    <t>anunez@oomapasc.gob.mx;</t>
  </si>
  <si>
    <t>Trámites Técnicos</t>
  </si>
  <si>
    <t>aesquer@oomapasc.gob.mx;</t>
  </si>
  <si>
    <t>Verificación Y Lectura</t>
  </si>
  <si>
    <t>Aperez@oomapasc.gob.mx;</t>
  </si>
  <si>
    <t>Atención Ciudadana</t>
  </si>
  <si>
    <t>abuzani@oomapasc.gob.mx;</t>
  </si>
  <si>
    <t>Sectorización hidrométrica e innovación</t>
  </si>
  <si>
    <t>acarrillo@oomapasc.gob.mx;</t>
  </si>
  <si>
    <t>rmeraz@oomapasc.gob.mx;</t>
  </si>
  <si>
    <t>agalvez@oomapasc.gob.mx;</t>
  </si>
  <si>
    <t>asistentesdedirectores@oomapasc.gob.mx;</t>
  </si>
  <si>
    <t>atencion@oomapasc.gob.mx;</t>
  </si>
  <si>
    <t>atencionempresarial@oomapasc.gob.mx;</t>
  </si>
  <si>
    <t>auditores@oomapasc.gob.mx;</t>
  </si>
  <si>
    <t>agastelum@oomapasc.gob.mx;</t>
  </si>
  <si>
    <t>Bfelix@oomapasc.gob.mx;</t>
  </si>
  <si>
    <t>bencinas@oomapasc.gob.mx;</t>
  </si>
  <si>
    <t>bberrelleza@oomapasc.gob.mx;</t>
  </si>
  <si>
    <t>Bchaparro@oomapasc.gob.mx;</t>
  </si>
  <si>
    <t>bsaucedo@oomapasc.gob.mx;</t>
  </si>
  <si>
    <t>brigadistas@oomapasc.gob.mx;</t>
  </si>
  <si>
    <t>cparra@oomapasc.gob.mx;</t>
  </si>
  <si>
    <t>csoto@oomapasc.gob.mx;</t>
  </si>
  <si>
    <t>cc@oomapasc.gob.mx;</t>
  </si>
  <si>
    <t>Cacuna@oomapasc.gob.mx;</t>
  </si>
  <si>
    <t>ccuevas@oomapasc.gob.mx;</t>
  </si>
  <si>
    <t>csandoval@oomapasc.gob.mx;</t>
  </si>
  <si>
    <t>cfdi.proveedores@oomapasc.gob.mx;</t>
  </si>
  <si>
    <t>cfernandez@oomapasc.gob.mx;</t>
  </si>
  <si>
    <t>linea_oomapasc@oomapasc.gob.mx;</t>
  </si>
  <si>
    <t>Cnoris@oomapasc.gob.mx;</t>
  </si>
  <si>
    <t>cobranza@oomapasc.gob.mx;</t>
  </si>
  <si>
    <t>cocorit@oomapasc.gob.mx;</t>
  </si>
  <si>
    <t>ConsejoConsultivo@oomapasc.gob.mx;</t>
  </si>
  <si>
    <t>contabilidad@oomapasc.gob.mx;</t>
  </si>
  <si>
    <t>contraloria@oomapasc.gob.mx;</t>
  </si>
  <si>
    <t>contratosyservicios@oomapasc.gob.mx;</t>
  </si>
  <si>
    <t>cgonzalez@oomapasc.gob.mx;</t>
  </si>
  <si>
    <t>coordinacionlab@oomapasc.gob.mx;</t>
  </si>
  <si>
    <t>coordinadores@oomapasc.gob.mx;</t>
  </si>
  <si>
    <t>coordinadorescomerciales@oomapasc.gob.mx;</t>
  </si>
  <si>
    <t>a.torres@oomapasc.gob.mx;</t>
  </si>
  <si>
    <t>cmungarro@oomapasc.gob.mx;</t>
  </si>
  <si>
    <t>CSH5defebrero@oomapasc.gob.mx;</t>
  </si>
  <si>
    <t>CSHplanta1y2@oomapasc.gob.mx;</t>
  </si>
  <si>
    <t>CSHplanta3y4@oomapasc.gob.mx;</t>
  </si>
  <si>
    <t>CSHpvbonita@oomapasc.gob.mx;</t>
  </si>
  <si>
    <t>CSHsinaloa@oomapasc.gob.mx;</t>
  </si>
  <si>
    <t>CSHsuburbanos@oomapasc.gob.mx;</t>
  </si>
  <si>
    <t>cencinas@oomapasc.gob.mx;</t>
  </si>
  <si>
    <t>dgaxiola@oomapasc.gob.mx;</t>
  </si>
  <si>
    <t>licitaciones@oomapasc.gob.mx;</t>
  </si>
  <si>
    <t>Dloera@oomapasc.gob.mx;</t>
  </si>
  <si>
    <t>dtabares@oomapasc.gob.mx;</t>
  </si>
  <si>
    <t>dlopez@oomapasc.gob.mx;</t>
  </si>
  <si>
    <t>dleyva@oomapasc.gob.mx;</t>
  </si>
  <si>
    <t>dhernandez@oomapasc.gob.mx;</t>
  </si>
  <si>
    <t>ddiaz@oomapasc.gob.mx;</t>
  </si>
  <si>
    <t>Dgeneral@oomapasc.gob.mx;</t>
  </si>
  <si>
    <t>directores@oomapasc.gob.mx;</t>
  </si>
  <si>
    <t>Erochin@oomapasc.gob.mx;</t>
  </si>
  <si>
    <t>eibarra@oomapasc.gob.mx;</t>
  </si>
  <si>
    <t>emunguia@oomapasc.gob.mx;</t>
  </si>
  <si>
    <t>Etavares@oomapasc.gob.mx;</t>
  </si>
  <si>
    <t>Eamparan@oomapasc.gob.mx;</t>
  </si>
  <si>
    <t>eduarte@oomapasc.gob.mx;</t>
  </si>
  <si>
    <t>eMeza@oomapasc.gob.mx;</t>
  </si>
  <si>
    <t>Evzla@oomapasc.gob.mx;</t>
  </si>
  <si>
    <t>presupuestos@oomapasc.gob.mx;</t>
  </si>
  <si>
    <t>macosta@oomapasc.gob.mx;</t>
  </si>
  <si>
    <t>esperanza1@oomapasc.gob.mx;</t>
  </si>
  <si>
    <t>esperanza2@oomapasc.gob.mx;</t>
  </si>
  <si>
    <t>esperanzacentro@oomapasc.gob.mx;</t>
  </si>
  <si>
    <t>Esauceda@oomapasc.gob.mx;</t>
  </si>
  <si>
    <t>Eruiz@oomapasc.gob.mx;</t>
  </si>
  <si>
    <t>epelaez@oomapasc.gob.mx;</t>
  </si>
  <si>
    <t>facturacion@oomapasc.gob.mx;</t>
  </si>
  <si>
    <t>Fmendivil@oomapasc.gob.mx;</t>
  </si>
  <si>
    <t>flopez@oomapasc.gob.mx;</t>
  </si>
  <si>
    <t>Fduarte@oomapasc.gob.mx;</t>
  </si>
  <si>
    <t>fmendez@oomapasc.gob.mx;</t>
  </si>
  <si>
    <t>gerentes@oomapasc.gob.mx;</t>
  </si>
  <si>
    <t>gerentescomerciales@oomapasc.gob.mx;</t>
  </si>
  <si>
    <t>gcota@oomapasc.gob.mx;</t>
  </si>
  <si>
    <t>gimnasio@oomapasc.gob.mx;</t>
  </si>
  <si>
    <t>gescobar@oomapasc.gob.mx;</t>
  </si>
  <si>
    <t>Lalcaraz@oomapasc.gob.mx;</t>
  </si>
  <si>
    <t>gpatino@oomapasc.gob.mx;</t>
  </si>
  <si>
    <t>gumartinez@oomapasc.gob.mx;</t>
  </si>
  <si>
    <t>Gleon@oomapasc.gob.mx;</t>
  </si>
  <si>
    <t>hpaez@oomapasc.gob.mx;</t>
  </si>
  <si>
    <t>inspectores@oomapasc.gob.mx;</t>
  </si>
  <si>
    <t>inventariosnotificaciones@oomapasc.gob.mx;</t>
  </si>
  <si>
    <t>Imoreno@oomapasc.gob.mx;</t>
  </si>
  <si>
    <t>Ifierro@oomapasc.gob.mx;</t>
  </si>
  <si>
    <t>igonzalez@oomapasc.gob.mx;</t>
  </si>
  <si>
    <t>jvaldez@oomapasc.gob.mx;</t>
  </si>
  <si>
    <t>jalisco2@oomapasc.gob.mx;</t>
  </si>
  <si>
    <t>jalisco3@oomapasc.gob.mx;</t>
  </si>
  <si>
    <t>Jaenriquez@oomapasc.gob.mx;</t>
  </si>
  <si>
    <t>serviciosgenerales@oomapasc.gob.mx;</t>
  </si>
  <si>
    <t>Jefaturadelecturistas@oomapasc.gob.mx;</t>
  </si>
  <si>
    <t>jponce@oomapasc.gob.mx;</t>
  </si>
  <si>
    <t>jhernandez@oomapasc.gob.mx;</t>
  </si>
  <si>
    <t>jislas@oomapasc.gob.mx;</t>
  </si>
  <si>
    <t>jperaza@oomapasc.gob.mx;</t>
  </si>
  <si>
    <t>jcastro@oomapasc.gob.mx;</t>
  </si>
  <si>
    <t>jgamez@oomapasc.gob.mx;</t>
  </si>
  <si>
    <t>jovalenzuela@oomapasc.gob.mx;</t>
  </si>
  <si>
    <t>jcardenas@oomapasc.gob.mx;</t>
  </si>
  <si>
    <t>supervisiondeobras@oomapasc.gob.mx;</t>
  </si>
  <si>
    <t>saneamiento@oomapasc.gob.mx;</t>
  </si>
  <si>
    <t>jaustria@oomapasc.gob.mx;</t>
  </si>
  <si>
    <t>lnoriega@oomapasc.gob.mx;</t>
  </si>
  <si>
    <t>JArredondo@oomapasc.gob.mx;</t>
  </si>
  <si>
    <t>jacuna@oomapasc.gob.mx;</t>
  </si>
  <si>
    <t>juvalenzuela@oomapasc.gob.mx;</t>
  </si>
  <si>
    <t>jduarte@oomapasc.gob.mx;</t>
  </si>
  <si>
    <t>Jbeltran@oomapasc.gob.mx;</t>
  </si>
  <si>
    <t>Jflores@oomapasc.gob.mx;</t>
  </si>
  <si>
    <t>jzamora@oomapasc.gob.mx;</t>
  </si>
  <si>
    <t>gparra@oomapasc.gob.mx;</t>
  </si>
  <si>
    <t>snunez@oomapasc.gob.mx;</t>
  </si>
  <si>
    <t>Jgalaviz@oomapasc.gob.mx;</t>
  </si>
  <si>
    <t>juridico@oomapasc.gob.mx;</t>
  </si>
  <si>
    <t>kbojorquez@oomapasc.gob.mx;</t>
  </si>
  <si>
    <t>kcantu@oomapasc.gob.mx;</t>
  </si>
  <si>
    <t>kfelix@oomapasc.gob.mx;</t>
  </si>
  <si>
    <t>laboratorio@oomapasc.gob.mx;</t>
  </si>
  <si>
    <t>lbustamante@oomapasc.gob.mx;</t>
  </si>
  <si>
    <t>lmruiz@oomapasc.gob.mx;</t>
  </si>
  <si>
    <t>Lgasca@oomapasc.gob.mx;</t>
  </si>
  <si>
    <t>lgaxiola@oomapasc.gob.mx;</t>
  </si>
  <si>
    <t>Lfuller@oomapasc.gob.mx;</t>
  </si>
  <si>
    <t>lalvarez@oomapasc.gob.mx;</t>
  </si>
  <si>
    <t>lineaoomapasc@oomapasc.gob.mx;</t>
  </si>
  <si>
    <t>linea1@oomapasc.gob.mx;</t>
  </si>
  <si>
    <t>linea2@oomapasc.gob.mx;</t>
  </si>
  <si>
    <t>Lcampa@oomapasc.gob.mx;</t>
  </si>
  <si>
    <t>lsaldivar@oomapasc.gob.mx;</t>
  </si>
  <si>
    <t>recursoshumanos2@oomapasc.gob.mx;</t>
  </si>
  <si>
    <t>lraya@oomapasc.gob.mx;</t>
  </si>
  <si>
    <t>lcastro@oomapasc.gob.mx;</t>
  </si>
  <si>
    <t>Lencinas@oomapasc.gob.mx;</t>
  </si>
  <si>
    <t>Mcoronel@oomapasc.gob.mx;</t>
  </si>
  <si>
    <t>menriquez@oomapasc.gob.mx;</t>
  </si>
  <si>
    <t>Mmontoya@oomapasc.gob.mx;</t>
  </si>
  <si>
    <t>marmenta@oomapasc.gob.mx;</t>
  </si>
  <si>
    <t>contratos@oomapasc.gob.mx;</t>
  </si>
  <si>
    <t>mberrelleza@oomapasc.gob.mx;</t>
  </si>
  <si>
    <t>mortiz@oomapasc.gob.mx;</t>
  </si>
  <si>
    <t>mcornejo@oomapasc.gob.mx;</t>
  </si>
  <si>
    <t>mperez@oomapasc.gob.mx;</t>
  </si>
  <si>
    <t>Mrivera@oomapasc.gob.mx;</t>
  </si>
  <si>
    <t>mmendoza@oomapasc.gob.mx;</t>
  </si>
  <si>
    <t>mvasquez@oomapasc.gob.mx;</t>
  </si>
  <si>
    <t>mmartin@oomapasc.gob.mx;</t>
  </si>
  <si>
    <t>contabilidadoomapasc@oomapasc.gob.mx;</t>
  </si>
  <si>
    <t>Mdominguez@oomapasc.gob.mx;</t>
  </si>
  <si>
    <t>mvalle@oomapasc.gob.mx;</t>
  </si>
  <si>
    <t>Mvzla@oomapasc.gob.mx;</t>
  </si>
  <si>
    <t>mavila@oomapasc.gob.mx;</t>
  </si>
  <si>
    <t>Mvelazquez@oomapasc.gob.mx;</t>
  </si>
  <si>
    <t>matias1@oomapasc.gob.mx;</t>
  </si>
  <si>
    <t>mmorales@oomapasc.gob.mx;</t>
  </si>
  <si>
    <t>mercajeme1@oomapasc.gob.mx;</t>
  </si>
  <si>
    <t>mercajeme3@oomapasc.gob.mx;</t>
  </si>
  <si>
    <t>mercajeme4@oomapasc.gob.mx;</t>
  </si>
  <si>
    <t>mencinas@oomapasc.gob.mx;</t>
  </si>
  <si>
    <t>mlopez@oomapasc.gob.mx;</t>
  </si>
  <si>
    <t>Mmillan@oomapasc.gob.mx;</t>
  </si>
  <si>
    <t>morelos@oomapasc.gob.mx;</t>
  </si>
  <si>
    <t>morelos2@oomapasc.gob.mx;</t>
  </si>
  <si>
    <t>Mibarra@oomapasc.gob.mx;</t>
  </si>
  <si>
    <t>nlopez@oomapasc.gob.mx;</t>
  </si>
  <si>
    <t>nmadrid@oomapasc.gob.mx;</t>
  </si>
  <si>
    <t>NEW@oomapasc.gob.mx;</t>
  </si>
  <si>
    <t>nquihuis@oomapasc.gob.mx;</t>
  </si>
  <si>
    <t>nllamas@oomapasc.gob.mx;</t>
  </si>
  <si>
    <t>cajeros@oomapasc.gob.mx;</t>
  </si>
  <si>
    <t>olopez@oomapasc.gob.mx;</t>
  </si>
  <si>
    <t>operador1y2@oomapasc.gob.mx;</t>
  </si>
  <si>
    <t>operadorplanta3y4@oomapasc.gob.mx;</t>
  </si>
  <si>
    <t>operadorvbonita@oomapasc.gob.mx;</t>
  </si>
  <si>
    <t>operadorradio@oomapasc.gob.mx;</t>
  </si>
  <si>
    <t>Pnunez@oomapasc.gob.mx;</t>
  </si>
  <si>
    <t>pagoscspi@oomapasc.gob.mx;</t>
  </si>
  <si>
    <t>pelopez@oomapasc.gob.mx;</t>
  </si>
  <si>
    <t>planoriente1@oomapasc.gob.mx;</t>
  </si>
  <si>
    <t>ProyectoseInfraestructura@oomapasc.gob.mx;</t>
  </si>
  <si>
    <t>proyectos@oomapasc.gob.mx;</t>
  </si>
  <si>
    <t>prueba@oomapasc.gob.mx;</t>
  </si>
  <si>
    <t>quejascspi@oomapasc.gob.mx;</t>
  </si>
  <si>
    <t>rencinas@oomapasc.gob.mx;</t>
  </si>
  <si>
    <t>restrada@oomapasc.gob.mx;</t>
  </si>
  <si>
    <t>oruiz@oomapasc.gob.mx;</t>
  </si>
  <si>
    <t>recepciontecnica@oomapasc.gob.mx;</t>
  </si>
  <si>
    <t>recepcionPA@oomapasc.gob.mx;</t>
  </si>
  <si>
    <t>Recepcion1@oomapasc.gob.mx;</t>
  </si>
  <si>
    <t>Recepcion2@oomapasc.gob.mx;</t>
  </si>
  <si>
    <t>resportescalidad@oomapasc.gob.mx;</t>
  </si>
  <si>
    <t>responsablesdeproceso@oomapasc.gob.mx;</t>
  </si>
  <si>
    <t>comunicacion@oomapasc.gob.mx;</t>
  </si>
  <si>
    <t>rvalenzuela@oomapasc.gob.mx;</t>
  </si>
  <si>
    <t>pusuarios@oomapasc.gob.mx;</t>
  </si>
  <si>
    <t>rbadilla@oomapasc.gob.mx;</t>
  </si>
  <si>
    <t>rrobles@oomapasc.gob.mx;</t>
  </si>
  <si>
    <t>rbaldenegro@oomapasc.gob.mx;</t>
  </si>
  <si>
    <t>rybarra@oomapasc.gob.mx;</t>
  </si>
  <si>
    <t>rruiz@oomapasc.gob.mx;</t>
  </si>
  <si>
    <t>rvega@oomapasc.gob.mx;</t>
  </si>
  <si>
    <t>sjuntas@oomapasc.gob.mx;</t>
  </si>
  <si>
    <t>seguridadhigiene@oomapasc.gob.mx;</t>
  </si>
  <si>
    <t>svalenzuela@oomapasc.gob.mx;</t>
  </si>
  <si>
    <t>Sochoa@oomapasc.gob.mx;</t>
  </si>
  <si>
    <t>soporteinformatica@oomapasc.gob.mx;</t>
  </si>
  <si>
    <t>informaticasoporte@oomapasc.gob.mx;</t>
  </si>
  <si>
    <t>soriana@oomapasc.gob.mx;</t>
  </si>
  <si>
    <t>soriana2@oomapasc.gob.mx;</t>
  </si>
  <si>
    <t>spublica1@oomapasc.gob.mx;</t>
  </si>
  <si>
    <t>stsolucionadas@oomapasc.gob.mx;</t>
  </si>
  <si>
    <t>subdirectorestecnicos@oomapasc.gob.mx;</t>
  </si>
  <si>
    <t>sucursalesoomapasc@oomapasc.gob.mx;</t>
  </si>
  <si>
    <t>supservicios@oomapasc.gob.mx;</t>
  </si>
  <si>
    <t>transparencia@oomapasc.gob.mx;</t>
  </si>
  <si>
    <t>tutuli1@oomapasc.gob.mx;</t>
  </si>
  <si>
    <t>tutuli4@oomapasc.gob.mx;</t>
  </si>
  <si>
    <t>Tutuli5@oomapasc.gob.mx;</t>
  </si>
  <si>
    <t>tutuli6@oomapasc.gob.mx;</t>
  </si>
  <si>
    <t>USSISUR@oomapasc.gob.mx;</t>
  </si>
  <si>
    <t>verificacion@oomapasc.gob.mx;</t>
  </si>
  <si>
    <t>vfontana1@oomapasc.gob.mx;</t>
  </si>
  <si>
    <t>vivich@oomapasc.gob.mx;</t>
  </si>
  <si>
    <t>villafontana2@oomapasc.gob.mx;</t>
  </si>
  <si>
    <t>webmaster@oomapasc.gob.mx;</t>
  </si>
  <si>
    <t>proveedores@oomapasc.gob.mx;</t>
  </si>
  <si>
    <t>servicios@oomapasc.gob.mx;</t>
  </si>
  <si>
    <t>Yvillanueva@oomapasc.gob.mx;</t>
  </si>
  <si>
    <t>yserrano@oomapasc.gob.mx;</t>
  </si>
  <si>
    <t>zhamed@oomapasc.gob.mx;</t>
  </si>
  <si>
    <t>Zarteche@oomapasc.gob.mx;</t>
  </si>
  <si>
    <t>ACTIVIDADES</t>
  </si>
  <si>
    <t>Responsable de la actividad</t>
  </si>
  <si>
    <t>Indicador de progreso</t>
  </si>
  <si>
    <t>Fecha de término</t>
  </si>
  <si>
    <t>Señala la evidencia objetiva revisada:</t>
  </si>
  <si>
    <t>Conclusión del porqué es efectiva:</t>
  </si>
  <si>
    <t>Fecha de cierre</t>
  </si>
  <si>
    <t>Auditor que cierra</t>
  </si>
  <si>
    <t>Evidencia</t>
  </si>
  <si>
    <t>✔️</t>
  </si>
  <si>
    <t>Evaluación de la eficacia de las acciones tomadas</t>
  </si>
  <si>
    <t>1er. Replanteo</t>
  </si>
  <si>
    <t>2do. Replanteo</t>
  </si>
  <si>
    <t>CAUSA #1:</t>
  </si>
  <si>
    <t>Procesos</t>
  </si>
  <si>
    <t>Comercialización</t>
  </si>
  <si>
    <t>Producción</t>
  </si>
  <si>
    <t>Comunicación</t>
  </si>
  <si>
    <t>Gestión de Recursos</t>
  </si>
  <si>
    <t>Mantenimiento y Calibración</t>
  </si>
  <si>
    <t>Medición Análisis y Mejora</t>
  </si>
  <si>
    <t>Responsabilidad de la Dirección</t>
  </si>
  <si>
    <t>Responsable de la acción</t>
  </si>
  <si>
    <t>Núm.</t>
  </si>
  <si>
    <t>Cada tipo de origen tiene un plazo específico para iniciar el proceso de acción correctiva:</t>
  </si>
  <si>
    <t>Apertura:</t>
  </si>
  <si>
    <t>Cierres:</t>
  </si>
  <si>
    <t>Las actividades deben concluirse en un máximo de 6 meses, con opción de 2 replanteos no mayores a 3 meses.</t>
  </si>
  <si>
    <r>
      <t>·</t>
    </r>
    <r>
      <rPr>
        <sz val="7"/>
        <color theme="1"/>
        <rFont val="Aptos"/>
        <family val="2"/>
      </rPr>
      <t xml:space="preserve">         </t>
    </r>
    <r>
      <rPr>
        <b/>
        <sz val="11"/>
        <color theme="1"/>
        <rFont val="Aptos"/>
        <family val="2"/>
      </rPr>
      <t>En caso de desacuerdo en el cierre:</t>
    </r>
    <r>
      <rPr>
        <sz val="11"/>
        <color theme="1"/>
        <rFont val="Aptos"/>
        <family val="2"/>
      </rPr>
      <t xml:space="preserve"> intervendrá el SGC para resolución.</t>
    </r>
  </si>
  <si>
    <r>
      <t>·</t>
    </r>
    <r>
      <rPr>
        <sz val="7"/>
        <color theme="1"/>
        <rFont val="Aptos"/>
        <family val="2"/>
      </rPr>
      <t xml:space="preserve">         </t>
    </r>
    <r>
      <rPr>
        <b/>
        <sz val="11"/>
        <color theme="1"/>
        <rFont val="Aptos"/>
        <family val="2"/>
      </rPr>
      <t>El auditor de cierre debe evaluar:</t>
    </r>
    <r>
      <rPr>
        <sz val="11"/>
        <color theme="1"/>
        <rFont val="Aptos"/>
        <family val="2"/>
      </rPr>
      <t xml:space="preserve"> Implementación vs evidencia y Resultados logrados vs esperados.</t>
    </r>
  </si>
  <si>
    <t xml:space="preserve">Para evidenciar el cierre efectivo, el auditor asignado firma la hoja de registro dando fe y legalidad a la implementación mencionada en el formado, </t>
  </si>
  <si>
    <t>despues digitalizará la hoja con su firma y resguardará la evidencia de manera digital en la carpeta de OneDrive.</t>
  </si>
  <si>
    <r>
      <t>·      </t>
    </r>
    <r>
      <rPr>
        <b/>
        <sz val="11"/>
        <color theme="1"/>
        <rFont val="Aptos"/>
        <family val="2"/>
      </rPr>
      <t>Proceso:</t>
    </r>
    <r>
      <rPr>
        <sz val="11"/>
        <color theme="1"/>
        <rFont val="Aptos"/>
        <family val="2"/>
      </rPr>
      <t xml:space="preserve"> Inmediatamente tras detectar el problema.</t>
    </r>
  </si>
  <si>
    <r>
      <t>·      </t>
    </r>
    <r>
      <rPr>
        <b/>
        <sz val="11"/>
        <color theme="1"/>
        <rFont val="Aptos"/>
        <family val="2"/>
      </rPr>
      <t>Indicadores:</t>
    </r>
    <r>
      <rPr>
        <sz val="11"/>
        <color theme="1"/>
        <rFont val="Aptos"/>
        <family val="2"/>
      </rPr>
      <t xml:space="preserve"> Al momento de generarse el resultado.</t>
    </r>
  </si>
  <si>
    <r>
      <t>·      </t>
    </r>
    <r>
      <rPr>
        <b/>
        <sz val="11"/>
        <color theme="1"/>
        <rFont val="Aptos"/>
        <family val="2"/>
      </rPr>
      <t>Auditorías:</t>
    </r>
    <r>
      <rPr>
        <sz val="11"/>
        <color theme="1"/>
        <rFont val="Aptos"/>
        <family val="2"/>
      </rPr>
      <t xml:space="preserve"> 5 días hábiles posteriores al informe.</t>
    </r>
  </si>
  <si>
    <r>
      <t>·      </t>
    </r>
    <r>
      <rPr>
        <b/>
        <sz val="11"/>
        <color theme="1"/>
        <rFont val="Aptos"/>
        <family val="2"/>
      </rPr>
      <t>Producto no conforme, ensayo no conforme y Reclamaciones del cliente:</t>
    </r>
    <r>
      <rPr>
        <sz val="11"/>
        <color theme="1"/>
        <rFont val="Aptos"/>
        <family val="2"/>
      </rPr>
      <t xml:space="preserve"> Inmediatamente o según procedimientos aplicables (ISO9001, ISO/IEC 17025).</t>
    </r>
  </si>
  <si>
    <r>
      <t xml:space="preserve">·      </t>
    </r>
    <r>
      <rPr>
        <b/>
        <sz val="11"/>
        <color theme="1"/>
        <rFont val="Aptos"/>
        <family val="2"/>
      </rPr>
      <t>Análisis de datos:</t>
    </r>
    <r>
      <rPr>
        <sz val="11"/>
        <color theme="1"/>
        <rFont val="Aptos"/>
        <family val="2"/>
      </rPr>
      <t xml:space="preserve"> Al identificarse el incumplimiento.</t>
    </r>
  </si>
  <si>
    <t>Se integra un responsable y un equipo de trabajo incluyendo en este grupo un invitado externo al área.</t>
  </si>
  <si>
    <t xml:space="preserve">Para la conformación del equipo: </t>
  </si>
  <si>
    <t>En caso que la acción correctiva cumpla el año de apertura, esta se debe de cerrar como no efectiva y dar apertura a una nueva, analizando de nuevo el problema detectado.</t>
  </si>
  <si>
    <t>Se permiten hasta 2 replanteos justificados:</t>
  </si>
  <si>
    <r>
      <t>·</t>
    </r>
    <r>
      <rPr>
        <sz val="7"/>
        <color theme="1"/>
        <rFont val="Aptos"/>
        <family val="2"/>
      </rPr>
      <t xml:space="preserve">         </t>
    </r>
    <r>
      <rPr>
        <sz val="11"/>
        <color theme="1"/>
        <rFont val="Aptos"/>
        <family val="2"/>
      </rPr>
      <t>El 1</t>
    </r>
    <r>
      <rPr>
        <vertAlign val="superscript"/>
        <sz val="11"/>
        <color theme="1"/>
        <rFont val="Aptos"/>
        <family val="2"/>
      </rPr>
      <t xml:space="preserve">er. </t>
    </r>
    <r>
      <rPr>
        <sz val="11"/>
        <color theme="1"/>
        <rFont val="Aptos"/>
        <family val="2"/>
      </rPr>
      <t>se solicita por medio de un correo electrónico.</t>
    </r>
  </si>
  <si>
    <r>
      <t>·</t>
    </r>
    <r>
      <rPr>
        <sz val="7"/>
        <color theme="1"/>
        <rFont val="Aptos"/>
        <family val="2"/>
      </rPr>
      <t xml:space="preserve">         </t>
    </r>
    <r>
      <rPr>
        <sz val="11"/>
        <color theme="1"/>
        <rFont val="Aptos"/>
        <family val="2"/>
      </rPr>
      <t>El 2</t>
    </r>
    <r>
      <rPr>
        <vertAlign val="superscript"/>
        <sz val="11"/>
        <color theme="1"/>
        <rFont val="Aptos"/>
        <family val="2"/>
      </rPr>
      <t>do.</t>
    </r>
    <r>
      <rPr>
        <sz val="11"/>
        <color theme="1"/>
        <rFont val="Aptos"/>
        <family val="2"/>
      </rPr>
      <t xml:space="preserve"> requiere formato OOMRSC-50 firmado por el responsable y director del área. Si se trata de entes externos, se permite un replanteo adicional por causa justificada.</t>
    </r>
  </si>
  <si>
    <t xml:space="preserve">         *Cada replanteo debe ser justificado con razones documentadas y ajustado digitalmente en el formato correspondiente</t>
  </si>
  <si>
    <t>Replanteos:</t>
  </si>
  <si>
    <t>Criterios para apertura y cierre.</t>
  </si>
  <si>
    <t>Cultura del agua</t>
  </si>
  <si>
    <t>Programas Sociales</t>
  </si>
  <si>
    <t>DATOS GENERALES</t>
  </si>
  <si>
    <t>DESCRIPCIÓN DE LA NO CONFORMIDAD</t>
  </si>
  <si>
    <t>Área:</t>
  </si>
  <si>
    <t>Origen</t>
  </si>
  <si>
    <t>Auditoría</t>
  </si>
  <si>
    <t>Proceso</t>
  </si>
  <si>
    <t>Indicador</t>
  </si>
  <si>
    <t>Producto no conforme</t>
  </si>
  <si>
    <t>Análisis de datos</t>
  </si>
  <si>
    <t>Reclamaciones de cliente</t>
  </si>
  <si>
    <t>EQUIPO DE TRABAJO</t>
  </si>
  <si>
    <t>CIERRE DE LA ACCIÓN</t>
  </si>
  <si>
    <t>Fecha de cierre:</t>
  </si>
  <si>
    <t>Nombre y firma del auditor:</t>
  </si>
  <si>
    <t>Núm. De Auditoría:</t>
  </si>
  <si>
    <t>Ensayo no conforme</t>
  </si>
  <si>
    <t>Catálogo auditores</t>
  </si>
  <si>
    <t>NO</t>
  </si>
  <si>
    <t>SI</t>
  </si>
  <si>
    <t>Enunciar que otros procesos se ven afectados:</t>
  </si>
  <si>
    <t>La no conformidad, ¿Impacta en otros procesos?</t>
  </si>
  <si>
    <t>Fecha de apertura:</t>
  </si>
  <si>
    <t>HERRAMIENTA DE ANÁLISIS: ( lluvia de ideas )</t>
  </si>
  <si>
    <t xml:space="preserve">Se requiere actualizar la matriz de riesgos y oportunidades del proceso?  </t>
  </si>
  <si>
    <t>Notas:
El de mayor puntuación es el de mayor importancia
Las puntuaciones van del 1 al numero total de causas,</t>
  </si>
  <si>
    <t>CAUSAS</t>
  </si>
  <si>
    <t xml:space="preserve">¿Se requiere un cambio en el SGC? (procedimientos, instructivos, formatos, responsabilidades, interacciones de procesos)  </t>
  </si>
  <si>
    <t>1er. Replanteo:</t>
  </si>
  <si>
    <t>2do. Replanteo:</t>
  </si>
  <si>
    <t>Resultado Verificado (Auditor)</t>
  </si>
  <si>
    <t>Fecha de de cierre:</t>
  </si>
  <si>
    <t>Si la respuesta es Sí, describir el riesgo u oportunidad modificado en la matriz:</t>
  </si>
  <si>
    <t>Proceso: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</si>
</sst>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_ ;\-#,##0\ "/>
  </numFmts>
  <fonts count="6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22"/>
      <color theme="8" tint="-0.499984740745262"/>
      <name val="Calibri Light"/>
      <family val="2"/>
      <scheme val="major"/>
    </font>
    <font>
      <b/>
      <sz val="20"/>
      <name val="Calibri Light"/>
      <family val="2"/>
      <scheme val="maj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6"/>
      <color theme="8" tint="-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2"/>
      <color theme="1" tint="0.14999847407452621"/>
      <name val="Calibri"/>
      <family val="2"/>
    </font>
    <font>
      <b/>
      <sz val="20"/>
      <name val="Calibri"/>
      <family val="2"/>
      <scheme val="minor"/>
    </font>
    <font>
      <b/>
      <sz val="22"/>
      <color theme="8" tint="-0.499984740745262"/>
      <name val="Calibri"/>
      <family val="2"/>
      <scheme val="minor"/>
    </font>
    <font>
      <b/>
      <sz val="24"/>
      <color theme="1" tint="0.14999847407452621"/>
      <name val="Calibri"/>
      <family val="2"/>
      <scheme val="minor"/>
    </font>
    <font>
      <b/>
      <sz val="20"/>
      <color theme="1" tint="0.14999847407452621"/>
      <name val="Calibri"/>
      <family val="2"/>
      <scheme val="minor"/>
    </font>
    <font>
      <b/>
      <sz val="22"/>
      <name val="Calibri"/>
      <family val="2"/>
      <scheme val="minor"/>
    </font>
    <font>
      <sz val="20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 tint="0.14999847407452621"/>
      <name val="Calibri"/>
      <family val="2"/>
    </font>
    <font>
      <b/>
      <sz val="18"/>
      <color theme="0"/>
      <name val="Arial"/>
      <family val="2"/>
    </font>
    <font>
      <sz val="10"/>
      <color theme="1"/>
      <name val="Segoe UI"/>
      <family val="2"/>
    </font>
    <font>
      <sz val="11"/>
      <color theme="0"/>
      <name val="Segoe UI"/>
      <family val="2"/>
    </font>
    <font>
      <b/>
      <sz val="9"/>
      <color theme="1"/>
      <name val="Segoe UI"/>
      <family val="2"/>
    </font>
    <font>
      <sz val="11"/>
      <color theme="1"/>
      <name val="Aptos"/>
      <family val="2"/>
    </font>
    <font>
      <b/>
      <sz val="14"/>
      <color theme="1"/>
      <name val="Aptos"/>
      <family val="2"/>
    </font>
    <font>
      <b/>
      <sz val="11"/>
      <color theme="1"/>
      <name val="Aptos"/>
      <family val="2"/>
    </font>
    <font>
      <sz val="7"/>
      <color theme="1"/>
      <name val="Aptos"/>
      <family val="2"/>
    </font>
    <font>
      <vertAlign val="superscript"/>
      <sz val="11"/>
      <color theme="1"/>
      <name val="Aptos"/>
      <family val="2"/>
    </font>
    <font>
      <b/>
      <sz val="8"/>
      <color theme="1"/>
      <name val="Segoe UI"/>
      <family val="2"/>
    </font>
    <font>
      <sz val="8"/>
      <color theme="1"/>
      <name val="Segoe UI"/>
      <family val="2"/>
    </font>
    <font>
      <sz val="8"/>
      <color theme="1"/>
      <name val="Calibri"/>
      <family val="2"/>
      <scheme val="minor"/>
    </font>
    <font>
      <sz val="10"/>
      <color theme="0"/>
      <name val="Segoe UI"/>
      <family val="2"/>
    </font>
    <font>
      <sz val="10"/>
      <color theme="8" tint="-0.499984740745262"/>
      <name val="Segoe UI"/>
      <family val="2"/>
    </font>
    <font>
      <b/>
      <sz val="10"/>
      <color theme="1" tint="0.14999847407452621"/>
      <name val="Segoe UI"/>
      <family val="2"/>
    </font>
    <font>
      <b/>
      <sz val="10"/>
      <color theme="1" tint="0.249977111117893"/>
      <name val="Segoe UI"/>
      <family val="2"/>
    </font>
    <font>
      <sz val="10"/>
      <color theme="1" tint="0.249977111117893"/>
      <name val="Segoe UI"/>
      <family val="2"/>
    </font>
    <font>
      <b/>
      <sz val="10"/>
      <name val="Segoe UI"/>
      <family val="2"/>
    </font>
    <font>
      <sz val="10"/>
      <name val="Segoe UI"/>
      <family val="2"/>
    </font>
    <font>
      <sz val="8"/>
      <color theme="1" tint="0.14999847407452621"/>
      <name val="Segoe UI"/>
      <family val="2"/>
    </font>
    <font>
      <b/>
      <sz val="8"/>
      <color theme="1" tint="0.14999847407452621"/>
      <name val="Segoe UI"/>
      <family val="2"/>
    </font>
    <font>
      <b/>
      <sz val="8"/>
      <color theme="1" tint="0.249977111117893"/>
      <name val="Segoe UI"/>
      <family val="2"/>
    </font>
    <font>
      <sz val="8"/>
      <color theme="1" tint="0.249977111117893"/>
      <name val="Segoe UI"/>
      <family val="2"/>
    </font>
    <font>
      <b/>
      <sz val="9"/>
      <color theme="1" tint="0.1499984740745262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b/>
      <sz val="12"/>
      <name val="Segoe UI"/>
      <family val="2"/>
    </font>
    <font>
      <b/>
      <sz val="11"/>
      <name val="Segoe UI"/>
      <family val="2"/>
    </font>
    <font>
      <sz val="12"/>
      <name val="Segoe UI"/>
      <family val="2"/>
    </font>
    <font>
      <sz val="11"/>
      <color theme="1"/>
      <name val="Segoe UI"/>
      <family val="2"/>
    </font>
    <font>
      <sz val="11"/>
      <name val="Segoe UI"/>
      <family val="2"/>
    </font>
    <font>
      <i/>
      <sz val="8"/>
      <color theme="1"/>
      <name val="Segoe UI"/>
      <family val="2"/>
    </font>
    <font>
      <b/>
      <i/>
      <sz val="8"/>
      <color theme="1"/>
      <name val="Segoe UI"/>
      <family val="2"/>
    </font>
    <font>
      <b/>
      <i/>
      <sz val="10"/>
      <color theme="1" tint="0.14999847407452621"/>
      <name val="Segoe UI"/>
      <family val="2"/>
    </font>
    <font>
      <i/>
      <sz val="8"/>
      <color theme="1" tint="0.14999847407452621"/>
      <name val="Segoe UI"/>
      <family val="2"/>
    </font>
    <font>
      <b/>
      <i/>
      <sz val="8"/>
      <color theme="1" tint="0.249977111117893"/>
      <name val="Segoe UI"/>
      <family val="2"/>
    </font>
    <font>
      <sz val="12"/>
      <color theme="0"/>
      <name val="Segoe UI"/>
      <family val="2"/>
    </font>
    <font>
      <i/>
      <sz val="10"/>
      <name val="Segoe UI"/>
      <family val="2"/>
    </font>
    <font>
      <i/>
      <sz val="10"/>
      <color theme="8" tint="-0.499984740745262"/>
      <name val="Segoe UI"/>
      <family val="2"/>
    </font>
    <font>
      <i/>
      <sz val="9"/>
      <color theme="8" tint="-0.499984740745262"/>
      <name val="Segoe UI"/>
      <family val="2"/>
    </font>
    <font>
      <i/>
      <sz val="12"/>
      <name val="Segoe UI"/>
      <family val="2"/>
    </font>
    <font>
      <i/>
      <sz val="8"/>
      <name val="Segoe UI"/>
      <family val="2"/>
    </font>
    <font>
      <b/>
      <sz val="18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4A8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8"/>
      </top>
      <bottom style="medium">
        <color theme="8"/>
      </bottom>
      <diagonal/>
    </border>
    <border>
      <left/>
      <right style="thin">
        <color theme="8" tint="0.79998168889431442"/>
      </right>
      <top style="medium">
        <color theme="8"/>
      </top>
      <bottom/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203764"/>
      </left>
      <right style="thin">
        <color rgb="FF203764"/>
      </right>
      <top style="thin">
        <color rgb="FF203764"/>
      </top>
      <bottom style="thin">
        <color rgb="FF2037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hair">
        <color theme="4" tint="0.39997558519241921"/>
      </left>
      <right/>
      <top style="hair">
        <color theme="4" tint="0.39997558519241921"/>
      </top>
      <bottom style="hair">
        <color theme="4" tint="0.39997558519241921"/>
      </bottom>
      <diagonal/>
    </border>
    <border>
      <left/>
      <right/>
      <top style="hair">
        <color theme="4" tint="0.39997558519241921"/>
      </top>
      <bottom style="hair">
        <color theme="4" tint="0.39997558519241921"/>
      </bottom>
      <diagonal/>
    </border>
    <border>
      <left/>
      <right style="hair">
        <color theme="4" tint="0.39997558519241921"/>
      </right>
      <top style="hair">
        <color theme="4" tint="0.39997558519241921"/>
      </top>
      <bottom style="hair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/>
      <right style="thin">
        <color theme="1" tint="0.249977111117893"/>
      </right>
      <top/>
      <bottom style="thin">
        <color theme="4" tint="0.39997558519241921"/>
      </bottom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theme="1" tint="0.249977111117893"/>
      </right>
      <top/>
      <bottom style="thin">
        <color indexed="64"/>
      </bottom>
      <diagonal/>
    </border>
    <border>
      <left/>
      <right style="thin">
        <color theme="4" tint="0.39997558519241921"/>
      </right>
      <top/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indexed="64"/>
      </bottom>
      <diagonal/>
    </border>
  </borders>
  <cellStyleXfs count="11">
    <xf numFmtId="0" fontId="0" fillId="0" borderId="0"/>
    <xf numFmtId="9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 applyNumberFormat="0" applyFill="0" applyBorder="0" applyAlignment="0" applyProtection="0"/>
    <xf numFmtId="14" fontId="5" fillId="0" borderId="0" applyFill="0" applyBorder="0">
      <alignment horizontal="center" vertical="center"/>
    </xf>
    <xf numFmtId="0" fontId="5" fillId="0" borderId="0" applyNumberFormat="0" applyFill="0" applyProtection="0">
      <alignment horizontal="right" vertical="center" indent="1"/>
    </xf>
    <xf numFmtId="0" fontId="10" fillId="0" borderId="13" applyNumberFormat="0" applyFill="0" applyProtection="0"/>
    <xf numFmtId="0" fontId="11" fillId="5" borderId="14" applyNumberFormat="0" applyProtection="0">
      <alignment horizontal="center" vertical="center"/>
    </xf>
    <xf numFmtId="9" fontId="3" fillId="0" borderId="0" applyFont="0" applyFill="0" applyBorder="0" applyProtection="0">
      <alignment horizontal="center" vertical="center"/>
    </xf>
    <xf numFmtId="164" fontId="3" fillId="0" borderId="0" applyFont="0" applyFill="0" applyBorder="0" applyProtection="0">
      <alignment horizontal="center" vertical="center"/>
    </xf>
  </cellStyleXfs>
  <cellXfs count="203">
    <xf numFmtId="0" fontId="0" fillId="0" borderId="0" xfId="0"/>
    <xf numFmtId="17" fontId="1" fillId="2" borderId="0" xfId="0" applyNumberFormat="1" applyFont="1" applyFill="1" applyAlignment="1">
      <alignment horizontal="left" vertical="top" wrapText="1"/>
    </xf>
    <xf numFmtId="17" fontId="1" fillId="2" borderId="0" xfId="0" applyNumberFormat="1" applyFont="1" applyFill="1" applyAlignment="1">
      <alignment horizontal="left" vertical="top"/>
    </xf>
    <xf numFmtId="17" fontId="1" fillId="2" borderId="8" xfId="0" applyNumberFormat="1" applyFont="1" applyFill="1" applyBorder="1" applyAlignment="1">
      <alignment horizontal="left" vertical="top"/>
    </xf>
    <xf numFmtId="0" fontId="2" fillId="3" borderId="12" xfId="0" applyFont="1" applyFill="1" applyBorder="1" applyAlignment="1">
      <alignment horizontal="center" vertical="top"/>
    </xf>
    <xf numFmtId="17" fontId="1" fillId="2" borderId="0" xfId="0" applyNumberFormat="1" applyFont="1" applyFill="1" applyAlignment="1">
      <alignment vertical="top"/>
    </xf>
    <xf numFmtId="0" fontId="5" fillId="0" borderId="0" xfId="3"/>
    <xf numFmtId="0" fontId="5" fillId="0" borderId="0" xfId="3" applyAlignment="1">
      <alignment horizontal="center"/>
    </xf>
    <xf numFmtId="0" fontId="7" fillId="4" borderId="0" xfId="3" applyFont="1" applyFill="1" applyAlignment="1">
      <alignment horizontal="left" vertical="center"/>
    </xf>
    <xf numFmtId="0" fontId="8" fillId="4" borderId="0" xfId="3" applyFont="1" applyFill="1" applyAlignment="1">
      <alignment vertical="center"/>
    </xf>
    <xf numFmtId="0" fontId="9" fillId="4" borderId="0" xfId="3" applyFont="1" applyFill="1" applyAlignment="1">
      <alignment horizontal="center" vertical="center"/>
    </xf>
    <xf numFmtId="0" fontId="5" fillId="4" borderId="0" xfId="3" applyFill="1" applyAlignment="1">
      <alignment horizontal="center"/>
    </xf>
    <xf numFmtId="0" fontId="12" fillId="4" borderId="1" xfId="4" applyFont="1" applyFill="1" applyBorder="1" applyAlignment="1" applyProtection="1">
      <alignment horizontal="center" vertical="center"/>
      <protection hidden="1"/>
    </xf>
    <xf numFmtId="9" fontId="4" fillId="0" borderId="0" xfId="3" applyNumberFormat="1" applyFont="1" applyProtection="1"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4" fillId="0" borderId="0" xfId="3" applyFont="1" applyProtection="1">
      <protection hidden="1"/>
    </xf>
    <xf numFmtId="0" fontId="19" fillId="0" borderId="0" xfId="3" applyFont="1" applyProtection="1">
      <protection hidden="1"/>
    </xf>
    <xf numFmtId="9" fontId="20" fillId="0" borderId="0" xfId="3" applyNumberFormat="1" applyFont="1" applyProtection="1">
      <protection hidden="1"/>
    </xf>
    <xf numFmtId="0" fontId="21" fillId="4" borderId="0" xfId="4" applyFont="1" applyFill="1" applyAlignment="1" applyProtection="1">
      <alignment horizontal="left" vertical="center" indent="1"/>
      <protection hidden="1"/>
    </xf>
    <xf numFmtId="0" fontId="5" fillId="4" borderId="0" xfId="3" applyFill="1" applyAlignment="1">
      <alignment horizontal="centerContinuous"/>
    </xf>
    <xf numFmtId="0" fontId="13" fillId="4" borderId="0" xfId="3" applyFont="1" applyFill="1" applyAlignment="1">
      <alignment horizontal="right" vertical="center"/>
    </xf>
    <xf numFmtId="0" fontId="15" fillId="4" borderId="0" xfId="3" applyFont="1" applyFill="1" applyAlignment="1" applyProtection="1">
      <alignment horizontal="centerContinuous" vertical="center"/>
      <protection hidden="1"/>
    </xf>
    <xf numFmtId="0" fontId="0" fillId="0" borderId="16" xfId="0" applyBorder="1"/>
    <xf numFmtId="0" fontId="22" fillId="6" borderId="12" xfId="0" applyFont="1" applyFill="1" applyBorder="1" applyAlignment="1">
      <alignment horizontal="center" vertical="top"/>
    </xf>
    <xf numFmtId="0" fontId="0" fillId="0" borderId="17" xfId="0" applyBorder="1"/>
    <xf numFmtId="0" fontId="23" fillId="0" borderId="0" xfId="0" applyFont="1"/>
    <xf numFmtId="0" fontId="26" fillId="0" borderId="0" xfId="0" applyFont="1"/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 indent="8"/>
    </xf>
    <xf numFmtId="0" fontId="27" fillId="0" borderId="0" xfId="0" applyFont="1" applyAlignment="1">
      <alignment vertical="center"/>
    </xf>
    <xf numFmtId="0" fontId="26" fillId="0" borderId="0" xfId="0" applyFont="1" applyAlignment="1">
      <alignment horizontal="left" vertical="center" indent="5"/>
    </xf>
    <xf numFmtId="0" fontId="28" fillId="0" borderId="0" xfId="0" applyFont="1" applyAlignment="1">
      <alignment vertical="center"/>
    </xf>
    <xf numFmtId="0" fontId="25" fillId="0" borderId="0" xfId="0" applyFont="1" applyAlignment="1">
      <alignment horizontal="right"/>
    </xf>
    <xf numFmtId="0" fontId="25" fillId="0" borderId="0" xfId="0" applyFont="1" applyAlignment="1">
      <alignment horizontal="right" vertical="center"/>
    </xf>
    <xf numFmtId="0" fontId="32" fillId="0" borderId="0" xfId="0" applyFont="1"/>
    <xf numFmtId="0" fontId="32" fillId="0" borderId="0" xfId="0" applyFont="1" applyAlignment="1">
      <alignment horizontal="right"/>
    </xf>
    <xf numFmtId="0" fontId="33" fillId="0" borderId="0" xfId="0" applyFont="1"/>
    <xf numFmtId="0" fontId="32" fillId="7" borderId="39" xfId="0" applyFont="1" applyFill="1" applyBorder="1"/>
    <xf numFmtId="0" fontId="32" fillId="7" borderId="40" xfId="0" applyFont="1" applyFill="1" applyBorder="1"/>
    <xf numFmtId="0" fontId="32" fillId="0" borderId="41" xfId="0" applyFont="1" applyBorder="1"/>
    <xf numFmtId="0" fontId="32" fillId="0" borderId="42" xfId="0" applyFont="1" applyBorder="1"/>
    <xf numFmtId="0" fontId="31" fillId="0" borderId="0" xfId="0" applyFont="1" applyAlignment="1">
      <alignment horizontal="right"/>
    </xf>
    <xf numFmtId="0" fontId="32" fillId="0" borderId="0" xfId="0" applyFont="1" applyAlignment="1" applyProtection="1">
      <alignment vertical="center" wrapText="1"/>
      <protection locked="0"/>
    </xf>
    <xf numFmtId="0" fontId="32" fillId="0" borderId="44" xfId="0" applyFont="1" applyBorder="1"/>
    <xf numFmtId="0" fontId="32" fillId="0" borderId="45" xfId="0" applyFont="1" applyBorder="1"/>
    <xf numFmtId="0" fontId="32" fillId="0" borderId="46" xfId="0" applyFont="1" applyBorder="1"/>
    <xf numFmtId="0" fontId="32" fillId="0" borderId="0" xfId="0" applyFont="1" applyAlignment="1">
      <alignment horizontal="left" vertical="top"/>
    </xf>
    <xf numFmtId="0" fontId="32" fillId="0" borderId="0" xfId="0" applyFont="1" applyAlignment="1">
      <alignment horizontal="right" vertical="center"/>
    </xf>
    <xf numFmtId="0" fontId="32" fillId="0" borderId="0" xfId="0" applyFont="1" applyAlignment="1">
      <alignment horizontal="left" vertical="top" wrapText="1"/>
    </xf>
    <xf numFmtId="0" fontId="32" fillId="0" borderId="42" xfId="0" applyFont="1" applyBorder="1" applyAlignment="1">
      <alignment horizontal="left" vertical="top" wrapText="1"/>
    </xf>
    <xf numFmtId="0" fontId="34" fillId="7" borderId="38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0" fontId="35" fillId="0" borderId="0" xfId="3" applyFont="1"/>
    <xf numFmtId="0" fontId="35" fillId="0" borderId="0" xfId="3" applyFont="1" applyAlignment="1">
      <alignment horizontal="center"/>
    </xf>
    <xf numFmtId="14" fontId="35" fillId="0" borderId="0" xfId="3" applyNumberFormat="1" applyFont="1" applyAlignment="1">
      <alignment horizontal="center"/>
    </xf>
    <xf numFmtId="0" fontId="36" fillId="0" borderId="21" xfId="3" applyFont="1" applyBorder="1" applyAlignment="1" applyProtection="1">
      <alignment horizontal="center" vertical="center" wrapText="1"/>
      <protection hidden="1"/>
    </xf>
    <xf numFmtId="0" fontId="37" fillId="0" borderId="0" xfId="3" applyFont="1" applyAlignment="1" applyProtection="1">
      <alignment horizontal="center" vertical="center"/>
      <protection hidden="1"/>
    </xf>
    <xf numFmtId="0" fontId="38" fillId="0" borderId="0" xfId="3" applyFont="1" applyAlignment="1" applyProtection="1">
      <alignment horizontal="center" vertical="center" wrapText="1"/>
      <protection locked="0"/>
    </xf>
    <xf numFmtId="0" fontId="37" fillId="0" borderId="0" xfId="3" applyFont="1" applyAlignment="1" applyProtection="1">
      <alignment horizontal="center" vertical="center"/>
      <protection locked="0"/>
    </xf>
    <xf numFmtId="0" fontId="37" fillId="0" borderId="0" xfId="3" applyFont="1" applyAlignment="1" applyProtection="1">
      <alignment horizontal="left" vertical="center"/>
      <protection locked="0"/>
    </xf>
    <xf numFmtId="0" fontId="37" fillId="0" borderId="0" xfId="3" applyFont="1" applyAlignment="1" applyProtection="1">
      <alignment horizontal="left" vertical="top"/>
      <protection locked="0"/>
    </xf>
    <xf numFmtId="9" fontId="35" fillId="0" borderId="0" xfId="3" applyNumberFormat="1" applyFont="1" applyAlignment="1">
      <alignment horizontal="center"/>
    </xf>
    <xf numFmtId="9" fontId="36" fillId="0" borderId="15" xfId="9" applyFont="1" applyBorder="1" applyProtection="1">
      <alignment horizontal="center" vertical="center"/>
      <protection hidden="1"/>
    </xf>
    <xf numFmtId="0" fontId="39" fillId="0" borderId="0" xfId="3" applyFont="1" applyAlignment="1">
      <alignment horizontal="right"/>
    </xf>
    <xf numFmtId="0" fontId="41" fillId="0" borderId="25" xfId="3" applyFont="1" applyBorder="1" applyAlignment="1" applyProtection="1">
      <alignment horizontal="center" vertical="center"/>
      <protection hidden="1"/>
    </xf>
    <xf numFmtId="9" fontId="41" fillId="0" borderId="24" xfId="1" applyFont="1" applyBorder="1" applyAlignment="1" applyProtection="1">
      <alignment horizontal="center" vertical="center"/>
      <protection hidden="1"/>
    </xf>
    <xf numFmtId="0" fontId="41" fillId="0" borderId="30" xfId="3" applyFont="1" applyBorder="1" applyAlignment="1" applyProtection="1">
      <alignment horizontal="center" vertical="center"/>
      <protection hidden="1"/>
    </xf>
    <xf numFmtId="9" fontId="41" fillId="0" borderId="20" xfId="1" applyFont="1" applyBorder="1" applyAlignment="1" applyProtection="1">
      <alignment horizontal="center" vertical="center"/>
      <protection hidden="1"/>
    </xf>
    <xf numFmtId="0" fontId="41" fillId="0" borderId="26" xfId="3" applyFont="1" applyBorder="1" applyAlignment="1" applyProtection="1">
      <alignment horizontal="center" vertical="center"/>
      <protection hidden="1"/>
    </xf>
    <xf numFmtId="9" fontId="41" fillId="0" borderId="28" xfId="1" applyFont="1" applyBorder="1" applyAlignment="1" applyProtection="1">
      <alignment horizontal="center" vertical="center"/>
      <protection hidden="1"/>
    </xf>
    <xf numFmtId="0" fontId="42" fillId="0" borderId="51" xfId="3" applyFont="1" applyBorder="1" applyAlignment="1" applyProtection="1">
      <alignment horizontal="center" vertical="center"/>
      <protection hidden="1"/>
    </xf>
    <xf numFmtId="0" fontId="42" fillId="0" borderId="52" xfId="3" applyFont="1" applyBorder="1" applyAlignment="1" applyProtection="1">
      <alignment horizontal="center" vertical="center"/>
      <protection hidden="1"/>
    </xf>
    <xf numFmtId="0" fontId="42" fillId="0" borderId="27" xfId="3" applyFont="1" applyBorder="1" applyAlignment="1" applyProtection="1">
      <alignment horizontal="center" vertical="center"/>
      <protection hidden="1"/>
    </xf>
    <xf numFmtId="0" fontId="36" fillId="0" borderId="22" xfId="3" applyFont="1" applyBorder="1" applyAlignment="1" applyProtection="1">
      <alignment horizontal="center" vertical="center" wrapText="1"/>
      <protection hidden="1"/>
    </xf>
    <xf numFmtId="0" fontId="43" fillId="0" borderId="55" xfId="3" applyFont="1" applyBorder="1" applyAlignment="1" applyProtection="1">
      <alignment horizontal="center" vertical="center"/>
      <protection locked="0"/>
    </xf>
    <xf numFmtId="0" fontId="43" fillId="0" borderId="56" xfId="3" applyFont="1" applyBorder="1" applyAlignment="1" applyProtection="1">
      <alignment horizontal="center" vertical="center"/>
      <protection locked="0"/>
    </xf>
    <xf numFmtId="0" fontId="43" fillId="0" borderId="59" xfId="3" applyFont="1" applyBorder="1" applyAlignment="1" applyProtection="1">
      <alignment horizontal="center" vertical="center"/>
      <protection locked="0"/>
    </xf>
    <xf numFmtId="0" fontId="8" fillId="0" borderId="0" xfId="3" applyFont="1" applyAlignment="1" applyProtection="1">
      <alignment horizontal="center"/>
      <protection hidden="1"/>
    </xf>
    <xf numFmtId="0" fontId="39" fillId="0" borderId="0" xfId="3" applyFont="1" applyAlignment="1">
      <alignment horizontal="center" wrapText="1"/>
    </xf>
    <xf numFmtId="0" fontId="46" fillId="7" borderId="0" xfId="3" applyFont="1" applyFill="1" applyAlignment="1">
      <alignment horizontal="right" vertical="center" indent="1"/>
    </xf>
    <xf numFmtId="0" fontId="47" fillId="7" borderId="0" xfId="3" applyFont="1" applyFill="1" applyAlignment="1">
      <alignment horizontal="right" vertical="center"/>
    </xf>
    <xf numFmtId="0" fontId="34" fillId="0" borderId="0" xfId="3" applyFont="1"/>
    <xf numFmtId="0" fontId="24" fillId="7" borderId="0" xfId="3" applyFont="1" applyFill="1" applyAlignment="1">
      <alignment horizontal="center" vertical="center"/>
    </xf>
    <xf numFmtId="0" fontId="24" fillId="7" borderId="0" xfId="3" applyFont="1" applyFill="1" applyAlignment="1">
      <alignment horizontal="center" vertical="center" wrapText="1"/>
    </xf>
    <xf numFmtId="0" fontId="35" fillId="0" borderId="0" xfId="3" applyFont="1" applyAlignment="1">
      <alignment vertical="center"/>
    </xf>
    <xf numFmtId="0" fontId="39" fillId="0" borderId="0" xfId="3" applyFont="1" applyAlignment="1">
      <alignment horizontal="right" vertical="center" wrapText="1" indent="1"/>
    </xf>
    <xf numFmtId="0" fontId="50" fillId="0" borderId="0" xfId="4" applyFont="1" applyFill="1" applyAlignment="1" applyProtection="1">
      <alignment horizontal="center" vertical="center" wrapText="1"/>
      <protection hidden="1"/>
    </xf>
    <xf numFmtId="0" fontId="49" fillId="0" borderId="0" xfId="3" applyFont="1" applyAlignment="1">
      <alignment horizontal="right" vertical="center"/>
    </xf>
    <xf numFmtId="0" fontId="8" fillId="0" borderId="0" xfId="0" applyFont="1"/>
    <xf numFmtId="0" fontId="50" fillId="0" borderId="0" xfId="4" applyFont="1" applyFill="1" applyAlignment="1" applyProtection="1">
      <alignment horizontal="right" vertical="center" wrapText="1"/>
      <protection hidden="1"/>
    </xf>
    <xf numFmtId="0" fontId="50" fillId="0" borderId="0" xfId="4" applyFont="1" applyFill="1" applyBorder="1" applyAlignment="1" applyProtection="1">
      <alignment horizontal="center" vertical="center" wrapText="1"/>
      <protection hidden="1"/>
    </xf>
    <xf numFmtId="0" fontId="48" fillId="0" borderId="0" xfId="4" applyFont="1" applyFill="1" applyAlignment="1" applyProtection="1">
      <alignment horizontal="right" vertical="center" wrapText="1"/>
      <protection hidden="1"/>
    </xf>
    <xf numFmtId="0" fontId="51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/>
    </xf>
    <xf numFmtId="0" fontId="40" fillId="0" borderId="0" xfId="3" applyFont="1" applyAlignment="1">
      <alignment horizontal="right" vertical="center" wrapText="1" indent="1"/>
    </xf>
    <xf numFmtId="9" fontId="45" fillId="0" borderId="0" xfId="9" applyFont="1" applyFill="1" applyBorder="1" applyAlignment="1" applyProtection="1">
      <alignment horizontal="center" vertical="center" wrapText="1"/>
      <protection hidden="1"/>
    </xf>
    <xf numFmtId="0" fontId="34" fillId="7" borderId="0" xfId="3" applyFont="1" applyFill="1" applyAlignment="1">
      <alignment horizontal="center" vertical="center" wrapText="1"/>
    </xf>
    <xf numFmtId="0" fontId="49" fillId="0" borderId="0" xfId="3" applyFont="1" applyAlignment="1">
      <alignment horizontal="right"/>
    </xf>
    <xf numFmtId="0" fontId="52" fillId="0" borderId="0" xfId="3" applyFont="1" applyAlignment="1" applyProtection="1">
      <alignment horizontal="center"/>
      <protection hidden="1"/>
    </xf>
    <xf numFmtId="14" fontId="47" fillId="7" borderId="0" xfId="3" applyNumberFormat="1" applyFont="1" applyFill="1" applyAlignment="1" applyProtection="1">
      <alignment horizontal="centerContinuous" vertical="center"/>
      <protection hidden="1"/>
    </xf>
    <xf numFmtId="0" fontId="32" fillId="0" borderId="45" xfId="0" applyFont="1" applyBorder="1" applyAlignment="1">
      <alignment vertical="center" wrapText="1"/>
    </xf>
    <xf numFmtId="0" fontId="55" fillId="0" borderId="21" xfId="3" applyFont="1" applyBorder="1" applyAlignment="1" applyProtection="1">
      <alignment horizontal="center" vertical="center" wrapText="1"/>
      <protection hidden="1"/>
    </xf>
    <xf numFmtId="0" fontId="57" fillId="0" borderId="53" xfId="3" applyFont="1" applyBorder="1" applyAlignment="1" applyProtection="1">
      <alignment horizontal="center" vertical="center"/>
      <protection locked="0"/>
    </xf>
    <xf numFmtId="0" fontId="57" fillId="0" borderId="50" xfId="3" applyFont="1" applyBorder="1" applyAlignment="1" applyProtection="1">
      <alignment horizontal="center" vertical="center"/>
      <protection locked="0"/>
    </xf>
    <xf numFmtId="0" fontId="57" fillId="0" borderId="49" xfId="3" applyFont="1" applyBorder="1" applyAlignment="1" applyProtection="1">
      <alignment horizontal="center" vertical="center"/>
      <protection locked="0"/>
    </xf>
    <xf numFmtId="0" fontId="57" fillId="0" borderId="57" xfId="3" applyFont="1" applyBorder="1" applyAlignment="1" applyProtection="1">
      <alignment horizontal="center" vertical="center"/>
      <protection locked="0"/>
    </xf>
    <xf numFmtId="0" fontId="57" fillId="0" borderId="58" xfId="3" applyFont="1" applyBorder="1" applyAlignment="1" applyProtection="1">
      <alignment horizontal="center" vertical="center"/>
      <protection locked="0"/>
    </xf>
    <xf numFmtId="0" fontId="60" fillId="0" borderId="0" xfId="3" applyFont="1" applyAlignment="1" applyProtection="1">
      <alignment horizontal="center" vertical="center" wrapText="1"/>
      <protection locked="0"/>
    </xf>
    <xf numFmtId="14" fontId="61" fillId="0" borderId="0" xfId="3" applyNumberFormat="1" applyFont="1" applyAlignment="1" applyProtection="1">
      <alignment horizontal="center" vertical="center"/>
      <protection locked="0"/>
    </xf>
    <xf numFmtId="0" fontId="60" fillId="0" borderId="0" xfId="3" applyFont="1" applyAlignment="1" applyProtection="1">
      <alignment horizontal="center" vertical="center"/>
      <protection locked="0"/>
    </xf>
    <xf numFmtId="0" fontId="59" fillId="0" borderId="0" xfId="5" applyNumberFormat="1" applyFont="1" applyFill="1" applyAlignment="1" applyProtection="1">
      <alignment horizontal="center" vertical="center" wrapText="1"/>
      <protection locked="0"/>
    </xf>
    <xf numFmtId="0" fontId="62" fillId="0" borderId="49" xfId="4" applyFont="1" applyFill="1" applyBorder="1" applyAlignment="1" applyProtection="1">
      <alignment horizontal="center" vertical="center" wrapText="1"/>
      <protection locked="0" hidden="1"/>
    </xf>
    <xf numFmtId="0" fontId="60" fillId="0" borderId="49" xfId="3" applyFont="1" applyBorder="1" applyAlignment="1" applyProtection="1">
      <alignment horizontal="center" vertical="center"/>
      <protection locked="0"/>
    </xf>
    <xf numFmtId="0" fontId="32" fillId="0" borderId="32" xfId="0" applyFont="1" applyBorder="1" applyAlignment="1" applyProtection="1">
      <alignment horizontal="center" vertical="center"/>
      <protection locked="0"/>
    </xf>
    <xf numFmtId="14" fontId="8" fillId="0" borderId="0" xfId="0" applyNumberFormat="1" applyFont="1" applyAlignment="1" applyProtection="1">
      <alignment horizontal="center" vertical="center"/>
      <protection hidden="1"/>
    </xf>
    <xf numFmtId="0" fontId="8" fillId="0" borderId="0" xfId="0" applyFont="1" applyProtection="1">
      <protection hidden="1"/>
    </xf>
    <xf numFmtId="0" fontId="59" fillId="0" borderId="31" xfId="3" applyFont="1" applyBorder="1" applyAlignment="1" applyProtection="1">
      <alignment horizontal="left" vertical="center" wrapText="1"/>
      <protection locked="0"/>
    </xf>
    <xf numFmtId="0" fontId="53" fillId="0" borderId="34" xfId="0" applyFont="1" applyBorder="1" applyAlignment="1" applyProtection="1">
      <alignment horizontal="center" vertical="center"/>
      <protection locked="0"/>
    </xf>
    <xf numFmtId="0" fontId="53" fillId="0" borderId="35" xfId="0" applyFont="1" applyBorder="1" applyAlignment="1" applyProtection="1">
      <alignment horizontal="center" vertical="center"/>
      <protection locked="0"/>
    </xf>
    <xf numFmtId="0" fontId="53" fillId="0" borderId="36" xfId="0" applyFont="1" applyBorder="1" applyAlignment="1" applyProtection="1">
      <alignment horizontal="center" vertical="center"/>
      <protection locked="0"/>
    </xf>
    <xf numFmtId="14" fontId="53" fillId="0" borderId="34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>
      <alignment horizontal="right" vertical="center" wrapText="1"/>
    </xf>
    <xf numFmtId="0" fontId="53" fillId="0" borderId="33" xfId="0" applyFont="1" applyBorder="1" applyAlignment="1" applyProtection="1">
      <alignment horizontal="center" wrapText="1"/>
      <protection locked="0"/>
    </xf>
    <xf numFmtId="0" fontId="31" fillId="0" borderId="10" xfId="0" applyFont="1" applyBorder="1" applyAlignment="1">
      <alignment horizontal="center" vertical="center"/>
    </xf>
    <xf numFmtId="0" fontId="31" fillId="0" borderId="71" xfId="0" applyFont="1" applyBorder="1" applyAlignment="1">
      <alignment horizontal="center" vertical="center"/>
    </xf>
    <xf numFmtId="0" fontId="31" fillId="0" borderId="72" xfId="0" applyFont="1" applyBorder="1" applyAlignment="1">
      <alignment horizontal="center" vertical="center"/>
    </xf>
    <xf numFmtId="0" fontId="31" fillId="0" borderId="70" xfId="0" applyFont="1" applyBorder="1" applyAlignment="1">
      <alignment horizontal="center" vertical="center"/>
    </xf>
    <xf numFmtId="0" fontId="53" fillId="0" borderId="33" xfId="0" applyFont="1" applyBorder="1" applyAlignment="1" applyProtection="1">
      <alignment horizontal="center"/>
      <protection locked="0"/>
    </xf>
    <xf numFmtId="0" fontId="53" fillId="0" borderId="43" xfId="0" applyFont="1" applyBorder="1" applyAlignment="1" applyProtection="1">
      <alignment horizontal="center"/>
      <protection locked="0"/>
    </xf>
    <xf numFmtId="0" fontId="53" fillId="0" borderId="37" xfId="0" applyFont="1" applyBorder="1" applyAlignment="1" applyProtection="1">
      <alignment horizontal="center"/>
      <protection locked="0"/>
    </xf>
    <xf numFmtId="0" fontId="53" fillId="0" borderId="47" xfId="0" applyFont="1" applyBorder="1" applyAlignment="1" applyProtection="1">
      <alignment horizontal="center"/>
      <protection locked="0"/>
    </xf>
    <xf numFmtId="0" fontId="54" fillId="0" borderId="50" xfId="0" applyFont="1" applyBorder="1" applyAlignment="1" applyProtection="1">
      <alignment horizontal="center"/>
      <protection locked="0"/>
    </xf>
    <xf numFmtId="0" fontId="54" fillId="0" borderId="49" xfId="0" applyFont="1" applyBorder="1" applyAlignment="1" applyProtection="1">
      <alignment horizontal="center"/>
      <protection locked="0"/>
    </xf>
    <xf numFmtId="14" fontId="53" fillId="0" borderId="37" xfId="0" applyNumberFormat="1" applyFont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 vertical="top" wrapText="1"/>
      <protection locked="0"/>
    </xf>
    <xf numFmtId="0" fontId="32" fillId="0" borderId="42" xfId="0" applyFont="1" applyBorder="1" applyAlignment="1" applyProtection="1">
      <alignment horizontal="left" vertical="top" wrapText="1"/>
      <protection locked="0"/>
    </xf>
    <xf numFmtId="0" fontId="53" fillId="0" borderId="33" xfId="0" applyFont="1" applyBorder="1" applyAlignment="1" applyProtection="1">
      <alignment horizontal="center" vertical="center"/>
      <protection locked="0"/>
    </xf>
    <xf numFmtId="0" fontId="53" fillId="0" borderId="43" xfId="0" applyFont="1" applyBorder="1" applyAlignment="1" applyProtection="1">
      <alignment horizontal="center" vertical="center"/>
      <protection locked="0"/>
    </xf>
    <xf numFmtId="0" fontId="53" fillId="0" borderId="49" xfId="0" applyFont="1" applyBorder="1" applyAlignment="1" applyProtection="1">
      <alignment horizontal="center" vertical="center" wrapText="1"/>
      <protection locked="0"/>
    </xf>
    <xf numFmtId="0" fontId="53" fillId="0" borderId="50" xfId="0" applyFont="1" applyBorder="1" applyAlignment="1" applyProtection="1">
      <alignment horizontal="center" vertical="center" wrapText="1"/>
      <protection locked="0"/>
    </xf>
    <xf numFmtId="0" fontId="36" fillId="0" borderId="10" xfId="3" applyFont="1" applyBorder="1" applyAlignment="1">
      <alignment horizontal="center" vertical="center" wrapText="1"/>
    </xf>
    <xf numFmtId="0" fontId="63" fillId="0" borderId="64" xfId="3" applyFont="1" applyBorder="1" applyAlignment="1" applyProtection="1">
      <alignment horizontal="center" vertical="center"/>
      <protection locked="0"/>
    </xf>
    <xf numFmtId="0" fontId="63" fillId="0" borderId="65" xfId="3" applyFont="1" applyBorder="1" applyAlignment="1" applyProtection="1">
      <alignment horizontal="center" vertical="center"/>
      <protection locked="0"/>
    </xf>
    <xf numFmtId="0" fontId="63" fillId="0" borderId="66" xfId="3" applyFont="1" applyBorder="1" applyAlignment="1" applyProtection="1">
      <alignment horizontal="center" vertical="center"/>
      <protection locked="0"/>
    </xf>
    <xf numFmtId="0" fontId="63" fillId="0" borderId="67" xfId="3" applyFont="1" applyBorder="1" applyAlignment="1" applyProtection="1">
      <alignment horizontal="center" vertical="center"/>
      <protection locked="0"/>
    </xf>
    <xf numFmtId="0" fontId="63" fillId="0" borderId="0" xfId="3" applyFont="1" applyAlignment="1" applyProtection="1">
      <alignment horizontal="center" vertical="center"/>
      <protection locked="0"/>
    </xf>
    <xf numFmtId="0" fontId="63" fillId="0" borderId="68" xfId="3" applyFont="1" applyBorder="1" applyAlignment="1" applyProtection="1">
      <alignment horizontal="center" vertical="center"/>
      <protection locked="0"/>
    </xf>
    <xf numFmtId="0" fontId="63" fillId="0" borderId="55" xfId="3" applyFont="1" applyBorder="1" applyAlignment="1" applyProtection="1">
      <alignment horizontal="center" vertical="center"/>
      <protection locked="0"/>
    </xf>
    <xf numFmtId="0" fontId="63" fillId="0" borderId="69" xfId="3" applyFont="1" applyBorder="1" applyAlignment="1" applyProtection="1">
      <alignment horizontal="center" vertical="center"/>
      <protection locked="0"/>
    </xf>
    <xf numFmtId="0" fontId="63" fillId="0" borderId="54" xfId="3" applyFont="1" applyBorder="1" applyAlignment="1" applyProtection="1">
      <alignment horizontal="center" vertical="center"/>
      <protection locked="0"/>
    </xf>
    <xf numFmtId="0" fontId="37" fillId="0" borderId="48" xfId="3" applyFont="1" applyBorder="1" applyAlignment="1" applyProtection="1">
      <alignment horizontal="center" vertical="center" wrapText="1"/>
      <protection locked="0"/>
    </xf>
    <xf numFmtId="0" fontId="37" fillId="0" borderId="0" xfId="3" applyFont="1" applyAlignment="1" applyProtection="1">
      <alignment horizontal="center" vertical="center" wrapText="1"/>
      <protection locked="0"/>
    </xf>
    <xf numFmtId="0" fontId="40" fillId="0" borderId="0" xfId="3" applyFont="1" applyAlignment="1" applyProtection="1">
      <alignment horizontal="center"/>
      <protection hidden="1"/>
    </xf>
    <xf numFmtId="0" fontId="44" fillId="0" borderId="60" xfId="3" applyFont="1" applyBorder="1" applyAlignment="1" applyProtection="1">
      <alignment horizontal="center" vertical="center" wrapText="1"/>
      <protection locked="0"/>
    </xf>
    <xf numFmtId="0" fontId="44" fillId="0" borderId="61" xfId="3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>
      <alignment horizontal="center" vertical="center" wrapText="1"/>
    </xf>
    <xf numFmtId="0" fontId="44" fillId="0" borderId="62" xfId="3" applyFont="1" applyBorder="1" applyAlignment="1" applyProtection="1">
      <alignment horizontal="center" vertical="center" wrapText="1"/>
      <protection locked="0"/>
    </xf>
    <xf numFmtId="0" fontId="44" fillId="0" borderId="63" xfId="3" applyFont="1" applyBorder="1" applyAlignment="1" applyProtection="1">
      <alignment horizontal="center" vertical="center" wrapText="1"/>
      <protection locked="0"/>
    </xf>
    <xf numFmtId="0" fontId="34" fillId="7" borderId="22" xfId="3" applyFont="1" applyFill="1" applyBorder="1" applyAlignment="1">
      <alignment horizontal="left" vertical="center"/>
    </xf>
    <xf numFmtId="0" fontId="34" fillId="7" borderId="29" xfId="3" applyFont="1" applyFill="1" applyBorder="1" applyAlignment="1">
      <alignment horizontal="left" vertical="center"/>
    </xf>
    <xf numFmtId="0" fontId="34" fillId="7" borderId="23" xfId="3" applyFont="1" applyFill="1" applyBorder="1" applyAlignment="1">
      <alignment horizontal="left" vertical="center"/>
    </xf>
    <xf numFmtId="0" fontId="36" fillId="0" borderId="22" xfId="3" applyFont="1" applyBorder="1" applyAlignment="1" applyProtection="1">
      <alignment horizontal="center" vertical="center"/>
      <protection hidden="1"/>
    </xf>
    <xf numFmtId="0" fontId="36" fillId="0" borderId="23" xfId="3" applyFont="1" applyBorder="1" applyAlignment="1" applyProtection="1">
      <alignment horizontal="center" vertical="center"/>
      <protection hidden="1"/>
    </xf>
    <xf numFmtId="0" fontId="56" fillId="0" borderId="50" xfId="3" applyFont="1" applyBorder="1" applyAlignment="1" applyProtection="1">
      <alignment horizontal="center" vertical="center" wrapText="1"/>
      <protection locked="0"/>
    </xf>
    <xf numFmtId="14" fontId="56" fillId="0" borderId="50" xfId="3" applyNumberFormat="1" applyFont="1" applyBorder="1" applyAlignment="1" applyProtection="1">
      <alignment horizontal="center" vertical="center" wrapText="1"/>
      <protection locked="0"/>
    </xf>
    <xf numFmtId="0" fontId="34" fillId="7" borderId="0" xfId="3" applyFont="1" applyFill="1" applyAlignment="1">
      <alignment horizontal="left" vertical="center"/>
    </xf>
    <xf numFmtId="0" fontId="58" fillId="7" borderId="0" xfId="4" applyFont="1" applyFill="1" applyAlignment="1" applyProtection="1">
      <alignment horizontal="left" vertical="center" wrapText="1" indent="1"/>
      <protection hidden="1"/>
    </xf>
    <xf numFmtId="0" fontId="64" fillId="0" borderId="0" xfId="0" applyFont="1" applyAlignment="1">
      <alignment horizontal="center" vertical="center"/>
    </xf>
    <xf numFmtId="0" fontId="15" fillId="4" borderId="0" xfId="3" applyFont="1" applyFill="1" applyAlignment="1">
      <alignment horizontal="center"/>
    </xf>
    <xf numFmtId="0" fontId="14" fillId="0" borderId="16" xfId="3" applyFont="1" applyBorder="1" applyAlignment="1">
      <alignment horizontal="center" vertical="center" wrapText="1"/>
    </xf>
    <xf numFmtId="0" fontId="18" fillId="0" borderId="4" xfId="3" applyFont="1" applyBorder="1" applyAlignment="1" applyProtection="1">
      <alignment horizontal="center" vertical="center" wrapText="1"/>
      <protection locked="0" hidden="1"/>
    </xf>
    <xf numFmtId="0" fontId="18" fillId="0" borderId="5" xfId="3" applyFont="1" applyBorder="1" applyAlignment="1" applyProtection="1">
      <alignment horizontal="center" vertical="center" wrapText="1"/>
      <protection locked="0" hidden="1"/>
    </xf>
    <xf numFmtId="0" fontId="18" fillId="0" borderId="6" xfId="3" applyFont="1" applyBorder="1" applyAlignment="1" applyProtection="1">
      <alignment horizontal="center" vertical="center" wrapText="1"/>
      <protection locked="0" hidden="1"/>
    </xf>
    <xf numFmtId="0" fontId="18" fillId="0" borderId="7" xfId="3" applyFont="1" applyBorder="1" applyAlignment="1" applyProtection="1">
      <alignment horizontal="center" vertical="center" wrapText="1"/>
      <protection locked="0" hidden="1"/>
    </xf>
    <xf numFmtId="0" fontId="18" fillId="0" borderId="0" xfId="3" applyFont="1" applyAlignment="1" applyProtection="1">
      <alignment horizontal="center" vertical="center" wrapText="1"/>
      <protection locked="0" hidden="1"/>
    </xf>
    <xf numFmtId="0" fontId="18" fillId="0" borderId="8" xfId="3" applyFont="1" applyBorder="1" applyAlignment="1" applyProtection="1">
      <alignment horizontal="center" vertical="center" wrapText="1"/>
      <protection locked="0" hidden="1"/>
    </xf>
    <xf numFmtId="14" fontId="16" fillId="0" borderId="4" xfId="3" applyNumberFormat="1" applyFont="1" applyBorder="1" applyAlignment="1" applyProtection="1">
      <alignment horizontal="center" vertical="center"/>
      <protection hidden="1"/>
    </xf>
    <xf numFmtId="0" fontId="16" fillId="0" borderId="5" xfId="3" applyFont="1" applyBorder="1" applyAlignment="1" applyProtection="1">
      <alignment horizontal="center" vertical="center"/>
      <protection hidden="1"/>
    </xf>
    <xf numFmtId="0" fontId="16" fillId="0" borderId="6" xfId="3" applyFont="1" applyBorder="1" applyAlignment="1" applyProtection="1">
      <alignment horizontal="center" vertical="center"/>
      <protection hidden="1"/>
    </xf>
    <xf numFmtId="0" fontId="16" fillId="0" borderId="7" xfId="3" applyFont="1" applyBorder="1" applyAlignment="1" applyProtection="1">
      <alignment horizontal="center" vertical="center"/>
      <protection hidden="1"/>
    </xf>
    <xf numFmtId="0" fontId="16" fillId="0" borderId="0" xfId="3" applyFont="1" applyAlignment="1" applyProtection="1">
      <alignment horizontal="center" vertical="center"/>
      <protection hidden="1"/>
    </xf>
    <xf numFmtId="0" fontId="16" fillId="0" borderId="8" xfId="3" applyFont="1" applyBorder="1" applyAlignment="1" applyProtection="1">
      <alignment horizontal="center" vertical="center"/>
      <protection hidden="1"/>
    </xf>
    <xf numFmtId="0" fontId="16" fillId="0" borderId="9" xfId="3" applyFont="1" applyBorder="1" applyAlignment="1" applyProtection="1">
      <alignment horizontal="center" vertical="center"/>
      <protection hidden="1"/>
    </xf>
    <xf numFmtId="0" fontId="16" fillId="0" borderId="10" xfId="3" applyFont="1" applyBorder="1" applyAlignment="1" applyProtection="1">
      <alignment horizontal="center" vertical="center"/>
      <protection hidden="1"/>
    </xf>
    <xf numFmtId="0" fontId="16" fillId="0" borderId="11" xfId="3" applyFont="1" applyBorder="1" applyAlignment="1" applyProtection="1">
      <alignment horizontal="center" vertical="center"/>
      <protection hidden="1"/>
    </xf>
    <xf numFmtId="0" fontId="18" fillId="0" borderId="9" xfId="3" applyFont="1" applyBorder="1" applyAlignment="1" applyProtection="1">
      <alignment horizontal="center" vertical="center" wrapText="1"/>
      <protection locked="0" hidden="1"/>
    </xf>
    <xf numFmtId="0" fontId="18" fillId="0" borderId="10" xfId="3" applyFont="1" applyBorder="1" applyAlignment="1" applyProtection="1">
      <alignment horizontal="center" vertical="center" wrapText="1"/>
      <protection locked="0" hidden="1"/>
    </xf>
    <xf numFmtId="0" fontId="18" fillId="0" borderId="11" xfId="3" applyFont="1" applyBorder="1" applyAlignment="1" applyProtection="1">
      <alignment horizontal="center" vertical="center" wrapText="1"/>
      <protection locked="0" hidden="1"/>
    </xf>
    <xf numFmtId="0" fontId="17" fillId="4" borderId="2" xfId="3" applyFont="1" applyFill="1" applyBorder="1" applyAlignment="1">
      <alignment horizontal="center" vertical="center"/>
    </xf>
    <xf numFmtId="0" fontId="17" fillId="4" borderId="3" xfId="3" applyFont="1" applyFill="1" applyBorder="1" applyAlignment="1">
      <alignment horizontal="center" vertical="center"/>
    </xf>
    <xf numFmtId="14" fontId="16" fillId="0" borderId="17" xfId="3" applyNumberFormat="1" applyFont="1" applyBorder="1" applyAlignment="1" applyProtection="1">
      <alignment horizontal="center" vertical="center"/>
      <protection locked="0" hidden="1"/>
    </xf>
    <xf numFmtId="14" fontId="16" fillId="0" borderId="19" xfId="3" applyNumberFormat="1" applyFont="1" applyBorder="1" applyAlignment="1" applyProtection="1">
      <alignment horizontal="center" vertical="center"/>
      <protection locked="0" hidden="1"/>
    </xf>
    <xf numFmtId="14" fontId="16" fillId="0" borderId="18" xfId="3" applyNumberFormat="1" applyFont="1" applyBorder="1" applyAlignment="1" applyProtection="1">
      <alignment horizontal="center" vertical="center"/>
      <protection locked="0" hidden="1"/>
    </xf>
    <xf numFmtId="14" fontId="16" fillId="0" borderId="4" xfId="3" applyNumberFormat="1" applyFont="1" applyBorder="1" applyAlignment="1" applyProtection="1">
      <alignment horizontal="center" vertical="center"/>
      <protection locked="0" hidden="1"/>
    </xf>
    <xf numFmtId="0" fontId="16" fillId="0" borderId="5" xfId="3" applyFont="1" applyBorder="1" applyAlignment="1" applyProtection="1">
      <alignment horizontal="center" vertical="center"/>
      <protection locked="0" hidden="1"/>
    </xf>
    <xf numFmtId="0" fontId="16" fillId="0" borderId="6" xfId="3" applyFont="1" applyBorder="1" applyAlignment="1" applyProtection="1">
      <alignment horizontal="center" vertical="center"/>
      <protection locked="0" hidden="1"/>
    </xf>
    <xf numFmtId="0" fontId="16" fillId="0" borderId="7" xfId="3" applyFont="1" applyBorder="1" applyAlignment="1" applyProtection="1">
      <alignment horizontal="center" vertical="center"/>
      <protection locked="0" hidden="1"/>
    </xf>
    <xf numFmtId="0" fontId="16" fillId="0" borderId="0" xfId="3" applyFont="1" applyAlignment="1" applyProtection="1">
      <alignment horizontal="center" vertical="center"/>
      <protection locked="0" hidden="1"/>
    </xf>
    <xf numFmtId="0" fontId="16" fillId="0" borderId="8" xfId="3" applyFont="1" applyBorder="1" applyAlignment="1" applyProtection="1">
      <alignment horizontal="center" vertical="center"/>
      <protection locked="0" hidden="1"/>
    </xf>
    <xf numFmtId="0" fontId="16" fillId="0" borderId="9" xfId="3" applyFont="1" applyBorder="1" applyAlignment="1" applyProtection="1">
      <alignment horizontal="center" vertical="center"/>
      <protection locked="0" hidden="1"/>
    </xf>
    <xf numFmtId="0" fontId="16" fillId="0" borderId="10" xfId="3" applyFont="1" applyBorder="1" applyAlignment="1" applyProtection="1">
      <alignment horizontal="center" vertical="center"/>
      <protection locked="0" hidden="1"/>
    </xf>
    <xf numFmtId="0" fontId="16" fillId="0" borderId="11" xfId="3" applyFont="1" applyBorder="1" applyAlignment="1" applyProtection="1">
      <alignment horizontal="center" vertical="center"/>
      <protection locked="0" hidden="1"/>
    </xf>
  </cellXfs>
  <cellStyles count="11">
    <cellStyle name="Encabezado 4 2" xfId="8" xr:uid="{FFA679B1-DE3E-45F7-A0CB-FA881C69880F}"/>
    <cellStyle name="Fecha" xfId="5" xr:uid="{18548165-3CE1-4DBF-B0A0-4107614A9874}"/>
    <cellStyle name="Millares [0] 2" xfId="10" xr:uid="{51560D7E-4165-44EE-B1E8-60B396A152A7}"/>
    <cellStyle name="Normal" xfId="0" builtinId="0"/>
    <cellStyle name="Normal 2" xfId="3" xr:uid="{EE5F2CDE-17E6-4606-896B-4F8660C1A1CF}"/>
    <cellStyle name="Porcentaje" xfId="1" builtinId="5"/>
    <cellStyle name="Porcentaje 2" xfId="9" xr:uid="{ADE0C5B8-F18F-4805-86B3-9937B53D5F96}"/>
    <cellStyle name="Título 2 2" xfId="7" xr:uid="{5E47487F-879B-40DB-AEF3-387D1BE3E669}"/>
    <cellStyle name="Título 3 2" xfId="6" xr:uid="{3385DC84-1716-4E88-A382-77AE6BCF0C6A}"/>
    <cellStyle name="Título 4" xfId="4" xr:uid="{92EED884-1F65-4E43-80C3-0BEA37B002B5}"/>
    <cellStyle name="zTextoOculto" xfId="2" xr:uid="{0F47DCE9-33D8-415E-9447-819E660C7C52}"/>
  </cellStyles>
  <dxfs count="44">
    <dxf>
      <font>
        <color rgb="FFCCFFCC"/>
      </font>
      <fill>
        <patternFill>
          <bgColor rgb="FFCCFFCC"/>
        </patternFill>
      </fill>
    </dxf>
    <dxf>
      <font>
        <color theme="0"/>
      </font>
      <fill>
        <gradientFill degree="180">
          <stop position="0">
            <color theme="4" tint="-0.49803155613879818"/>
          </stop>
          <stop position="1">
            <color theme="1"/>
          </stop>
        </gradientFill>
      </fill>
    </dxf>
    <dxf>
      <font>
        <color theme="0"/>
      </font>
      <fill>
        <gradientFill degree="180">
          <stop position="0">
            <color theme="4" tint="-0.49803155613879818"/>
          </stop>
          <stop position="1">
            <color theme="1"/>
          </stop>
        </gradient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004A82"/>
      </font>
      <fill>
        <patternFill>
          <bgColor rgb="FF004A82"/>
        </patternFill>
      </fill>
    </dxf>
    <dxf>
      <font>
        <color rgb="FF004A82"/>
      </font>
      <fill>
        <patternFill patternType="solid">
          <bgColor rgb="FF004A82"/>
        </patternFill>
      </fill>
    </dxf>
    <dxf>
      <font>
        <color theme="0"/>
      </font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color theme="0"/>
      </font>
    </dxf>
    <dxf>
      <font>
        <color rgb="FF004A82"/>
      </font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rgb="FFFFC00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22" formatCode="mmm\-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top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8" tint="-0.499984740745262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indent="0" justifyLastLine="0" shrinkToFit="0" readingOrder="0"/>
      <protection locked="0" hidden="0"/>
    </dxf>
    <dxf>
      <font>
        <i/>
        <strike val="0"/>
        <outline val="0"/>
        <shadow val="0"/>
        <u val="none"/>
        <vertAlign val="baseline"/>
        <sz val="9"/>
        <name val="Segoe UI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9"/>
        <color theme="1" tint="0.14999847407452621"/>
        <name val="Segoe UI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0"/>
        <name val="Segoe UI"/>
        <family val="2"/>
        <scheme val="none"/>
      </font>
      <border outline="0">
        <left style="thin">
          <color rgb="FF203764"/>
        </left>
      </border>
      <protection locked="0" hidden="0"/>
    </dxf>
    <dxf>
      <font>
        <b val="0"/>
        <i/>
        <strike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rgb="FF203764"/>
        </left>
        <right/>
        <top style="thin">
          <color rgb="FF203764"/>
        </top>
        <bottom style="thin">
          <color rgb="FF203764"/>
        </bottom>
      </border>
      <protection locked="0" hidden="0"/>
    </dxf>
    <dxf>
      <font>
        <strike val="0"/>
        <outline val="0"/>
        <shadow val="0"/>
        <u val="none"/>
        <vertAlign val="baseline"/>
        <sz val="10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004A82"/>
        </patternFill>
      </fill>
      <alignment horizontal="center" vertical="center" textRotation="0" wrapText="1" indent="0" justifyLastLine="0" shrinkToFit="0" readingOrder="0"/>
    </dxf>
    <dxf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fill>
        <patternFill>
          <bgColor theme="1" tint="0.34998626667073579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tabla personalizado" pivot="0" count="5" xr9:uid="{DB34DE3A-F4E9-4213-8A8B-46283512665F}">
      <tableStyleElement type="wholeTable" dxfId="43"/>
      <tableStyleElement type="headerRow" dxfId="42"/>
      <tableStyleElement type="firstRowStripe" dxfId="41"/>
      <tableStyleElement type="firstColumnStripe" dxfId="40"/>
      <tableStyleElement type="secondColumnStripe" dxfId="39"/>
    </tableStyle>
    <tableStyle name="Invisible" pivot="0" table="0" count="0" xr9:uid="{DF6054BC-DAAB-4E21-9BD5-5F1ABC4B803D}"/>
  </tableStyles>
  <colors>
    <mruColors>
      <color rgb="FF004A82"/>
      <color rgb="FF203764"/>
      <color rgb="FF00E668"/>
      <color rgb="FFCCFFCC"/>
      <color rgb="FF33CCFF"/>
      <color rgb="FF00E266"/>
      <color rgb="FF76FC6C"/>
      <color rgb="FF00FF00"/>
      <color rgb="FFC9FEC2"/>
      <color rgb="FFFDA3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MÍNIMO Y MÁXIMO</a:t>
            </a:r>
          </a:p>
        </c:rich>
      </c:tx>
      <c:layout>
        <c:manualLayout>
          <c:xMode val="edge"/>
          <c:yMode val="edge"/>
          <c:x val="0.38713479477037199"/>
          <c:y val="3.7369207772795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5217400150562571E-2"/>
          <c:y val="0.13860239162929747"/>
          <c:w val="0.90377484791145291"/>
          <c:h val="0.774707519743888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'!$G$4:$G$7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7-4AE5-8166-367CA96AA36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'DATOS '!$H$4:$H$7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37-4AE5-8166-367CA96AA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482244256"/>
        <c:axId val="1482240928"/>
      </c:barChart>
      <c:catAx>
        <c:axId val="1482244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2240928"/>
        <c:crosses val="autoZero"/>
        <c:auto val="1"/>
        <c:lblAlgn val="ctr"/>
        <c:lblOffset val="100"/>
        <c:noMultiLvlLbl val="0"/>
      </c:catAx>
      <c:valAx>
        <c:axId val="148224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482244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235323</xdr:colOff>
      <xdr:row>0</xdr:row>
      <xdr:rowOff>22412</xdr:rowOff>
    </xdr:from>
    <xdr:to>
      <xdr:col>21</xdr:col>
      <xdr:colOff>0</xdr:colOff>
      <xdr:row>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AECE9C9-DE64-5664-3D2F-F24472EDC909}"/>
            </a:ext>
          </a:extLst>
        </xdr:cNvPr>
        <xdr:cNvSpPr/>
      </xdr:nvSpPr>
      <xdr:spPr>
        <a:xfrm>
          <a:off x="3014382" y="22412"/>
          <a:ext cx="4280647" cy="470647"/>
        </a:xfrm>
        <a:prstGeom prst="rect">
          <a:avLst/>
        </a:prstGeom>
        <a:gradFill flip="none" rotWithShape="1">
          <a:gsLst>
            <a:gs pos="0">
              <a:schemeClr val="bg1"/>
            </a:gs>
            <a:gs pos="36000">
              <a:srgbClr val="004A8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>
              <a:latin typeface="Segoe UI" panose="020B0502040204020203" pitchFamily="34" charset="0"/>
              <a:cs typeface="Segoe UI" panose="020B0502040204020203" pitchFamily="34" charset="0"/>
            </a:rPr>
            <a:t>           ACCIÓN</a:t>
          </a:r>
          <a:r>
            <a:rPr lang="es-MX" sz="1800" baseline="0">
              <a:latin typeface="Segoe UI" panose="020B0502040204020203" pitchFamily="34" charset="0"/>
              <a:cs typeface="Segoe UI" panose="020B0502040204020203" pitchFamily="34" charset="0"/>
            </a:rPr>
            <a:t> CORRECTIVA</a:t>
          </a:r>
          <a:endParaRPr lang="es-MX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1514478</xdr:colOff>
      <xdr:row>0</xdr:row>
      <xdr:rowOff>0</xdr:rowOff>
    </xdr:from>
    <xdr:to>
      <xdr:col>10</xdr:col>
      <xdr:colOff>0</xdr:colOff>
      <xdr:row>0</xdr:row>
      <xdr:rowOff>472888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476B554A-9A90-4DEC-8510-A265F5CFCD53}"/>
            </a:ext>
          </a:extLst>
        </xdr:cNvPr>
        <xdr:cNvSpPr/>
      </xdr:nvSpPr>
      <xdr:spPr>
        <a:xfrm>
          <a:off x="3856507" y="0"/>
          <a:ext cx="6363258" cy="472888"/>
        </a:xfrm>
        <a:prstGeom prst="rect">
          <a:avLst/>
        </a:prstGeom>
        <a:gradFill flip="none" rotWithShape="1">
          <a:gsLst>
            <a:gs pos="0">
              <a:schemeClr val="bg1"/>
            </a:gs>
            <a:gs pos="36000">
              <a:srgbClr val="004A8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>
              <a:latin typeface="Segoe UI" panose="020B0502040204020203" pitchFamily="34" charset="0"/>
              <a:cs typeface="Segoe UI" panose="020B0502040204020203" pitchFamily="34" charset="0"/>
            </a:rPr>
            <a:t>                                                           ACCIÓN</a:t>
          </a:r>
          <a:r>
            <a:rPr lang="es-MX" sz="1800" baseline="0">
              <a:latin typeface="Segoe UI" panose="020B0502040204020203" pitchFamily="34" charset="0"/>
              <a:cs typeface="Segoe UI" panose="020B0502040204020203" pitchFamily="34" charset="0"/>
            </a:rPr>
            <a:t> CORRECTIVA                        </a:t>
          </a:r>
          <a:endParaRPr lang="es-MX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399610</xdr:colOff>
      <xdr:row>0</xdr:row>
      <xdr:rowOff>0</xdr:rowOff>
    </xdr:from>
    <xdr:to>
      <xdr:col>9</xdr:col>
      <xdr:colOff>0</xdr:colOff>
      <xdr:row>0</xdr:row>
      <xdr:rowOff>472888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7BCD39A-7B93-46A0-8B18-1BD98A8BC923}"/>
            </a:ext>
          </a:extLst>
        </xdr:cNvPr>
        <xdr:cNvSpPr/>
      </xdr:nvSpPr>
      <xdr:spPr>
        <a:xfrm>
          <a:off x="6971860" y="0"/>
          <a:ext cx="6363140" cy="472888"/>
        </a:xfrm>
        <a:prstGeom prst="rect">
          <a:avLst/>
        </a:prstGeom>
        <a:gradFill flip="none" rotWithShape="1">
          <a:gsLst>
            <a:gs pos="0">
              <a:schemeClr val="bg1"/>
            </a:gs>
            <a:gs pos="36000">
              <a:srgbClr val="004A82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>
              <a:latin typeface="Segoe UI" panose="020B0502040204020203" pitchFamily="34" charset="0"/>
              <a:cs typeface="Segoe UI" panose="020B0502040204020203" pitchFamily="34" charset="0"/>
            </a:rPr>
            <a:t>                                                           ACCIÓN</a:t>
          </a:r>
          <a:r>
            <a:rPr lang="es-MX" sz="1800" baseline="0">
              <a:latin typeface="Segoe UI" panose="020B0502040204020203" pitchFamily="34" charset="0"/>
              <a:cs typeface="Segoe UI" panose="020B0502040204020203" pitchFamily="34" charset="0"/>
            </a:rPr>
            <a:t> CORRECTIVA                        </a:t>
          </a:r>
          <a:endParaRPr lang="es-MX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569595</xdr:colOff>
      <xdr:row>0</xdr:row>
      <xdr:rowOff>293370</xdr:rowOff>
    </xdr:from>
    <xdr:to>
      <xdr:col>8</xdr:col>
      <xdr:colOff>200025</xdr:colOff>
      <xdr:row>14</xdr:row>
      <xdr:rowOff>194310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346523</xdr:colOff>
      <xdr:row>0</xdr:row>
      <xdr:rowOff>70908</xdr:rowOff>
    </xdr:from>
    <xdr:to>
      <xdr:col>1</xdr:col>
      <xdr:colOff>3255432</xdr:colOff>
      <xdr:row>1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723" y="70908"/>
          <a:ext cx="2908909" cy="1094317"/>
        </a:xfrm>
        <a:prstGeom prst="rect">
          <a:avLst/>
        </a:prstGeom>
      </xdr:spPr>
    </xdr:pic>
    <xdr:clientData/>
  </xdr:twoCellAnchor>
  <xdr:oneCellAnchor>
    <xdr:from>
      <xdr:col>2</xdr:col>
      <xdr:colOff>1086590</xdr:colOff>
      <xdr:row>0</xdr:row>
      <xdr:rowOff>128375</xdr:rowOff>
    </xdr:from>
    <xdr:ext cx="5144743" cy="845581"/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422370" y="128375"/>
          <a:ext cx="5144743" cy="845581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s-ES" sz="4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ACCIÓN CORRECTIVA</a:t>
          </a:r>
        </a:p>
      </xdr:txBody>
    </xdr:sp>
    <xdr:clientData/>
  </xdr:oneCellAnchor>
  <xdr:oneCellAnchor>
    <xdr:from>
      <xdr:col>8</xdr:col>
      <xdr:colOff>685800</xdr:colOff>
      <xdr:row>0</xdr:row>
      <xdr:rowOff>190500</xdr:rowOff>
    </xdr:from>
    <xdr:ext cx="1821608" cy="749821"/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A717140E-0AAC-48D4-BBAE-90F59FA074C1}"/>
            </a:ext>
          </a:extLst>
        </xdr:cNvPr>
        <xdr:cNvSpPr/>
      </xdr:nvSpPr>
      <xdr:spPr>
        <a:xfrm>
          <a:off x="14573250" y="190500"/>
          <a:ext cx="1821608" cy="74982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FECHA: ENERO</a:t>
          </a:r>
          <a:r>
            <a:rPr lang="es-ES" sz="1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2024</a:t>
          </a:r>
          <a:endParaRPr lang="es-ES" sz="1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s-E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Núm. de Rev.: 14  </a:t>
          </a:r>
        </a:p>
        <a:p>
          <a:pPr algn="ctr"/>
          <a:r>
            <a:rPr lang="es-ES" sz="1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CLAVE:   OOMRSC-20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474D85-714A-42AB-81EA-A69DE3743788}" name="ACTIVIDADES" displayName="ACTIVIDADES" ref="B8:I13" totalsRowShown="0" headerRowDxfId="38" dataDxfId="37" headerRowCellStyle="Normal 2">
  <autoFilter ref="B8:I13" xr:uid="{29E5A880-80D5-4B65-B5FB-8FB3913D3D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FE24C00-AF7A-413F-8E8F-CB0F84504554}" name="ACTIVIDADES" dataDxfId="36"/>
    <tableColumn id="3" xr3:uid="{D4A9DB0F-3C0D-4144-A718-7F960F6F497E}" name="Responsable de la actividad" dataDxfId="35"/>
    <tableColumn id="4" xr3:uid="{39C2690B-0DDD-4AA2-9E3D-96EBD2660B42}" name="Indicador de progreso" dataDxfId="34" dataCellStyle="Porcentaje 2">
      <calculatedColumnFormula array="1">IFERROR(IF(ACTIVIDADES[[#This Row],[Fecha de término]]="","",_xlfn.IFS(ACTIVIDADES[[#This Row],[Resultado Verificado (Auditor)]]="✔️",1,ACTIVIDADES[[#This Row],[Fecha de término]]&gt;TODAY(),DATEDIF(REGISTRO!$Q$5,TODAY(),"D")/DATEDIF(REGISTRO!$Q$5,ACTIVIDADES[[#This Row],[Fecha de término]],"D"),ACTIVIDADES[[#This Row],[1er. Replanteo]]&gt;TODAY(),DATEDIF(REGISTRO!$Q$5,TODAY(),"D")/DATEDIF(REGISTRO!$Q$5,ACTIVIDADES[[#This Row],[1er. Replanteo]],"D"),ACTIVIDADES[[#This Row],[2do. Replanteo]]&gt;TODAY(),DATEDIF(REGISTRO!$Q$5,TODAY(),"D")/DATEDIF(REGISTRO!$Q$5,ACTIVIDADES[[#This Row],[2do. Replanteo]],"D"))),"Actividad para revisión")</calculatedColumnFormula>
    </tableColumn>
    <tableColumn id="5" xr3:uid="{8DEC7F62-0218-4ADF-8398-1A3A415209AE}" name="Fecha de término" dataDxfId="33"/>
    <tableColumn id="7" xr3:uid="{E332ADB4-EB3B-4375-8EAC-30F8723EC29E}" name="1er. Replanteo" dataDxfId="32" dataCellStyle="Fecha"/>
    <tableColumn id="6" xr3:uid="{BB63EDC1-2B5C-49BE-9346-B188D08EBE1F}" name="2do. Replanteo" dataDxfId="31" dataCellStyle="Fecha"/>
    <tableColumn id="9" xr3:uid="{7A6CFBC8-2B74-459B-B29A-C0D19443A193}" name="Evidencia" dataDxfId="30" dataCellStyle="Fecha"/>
    <tableColumn id="8" xr3:uid="{4F99E09F-C812-4C1F-85EC-931ACEE045D5}" name="Resultado Verificado (Auditor)" dataDxfId="29" dataCellStyle="Normal 2"/>
  </tableColumns>
  <tableStyleInfo name="TableStyleLight9" showFirstColumn="0" showLastColumn="0" showRowStripes="1" showColumnStripes="0"/>
  <extLst>
    <ext xmlns:x14="http://schemas.microsoft.com/office/spreadsheetml/2009/9/main" uri="{504A1905-F514-4f6f-8877-14C23A59335A}">
      <x14:table altTextSummary="Escriba la información del hito del proyecto en esta tabla. Escriba una descripción de una fase, tarea, actividad etc. en la columna debajo de Descripción del hito. Asigne el elemento a alguien de la columna Asignado a. Actualice el progreso y consulte las barras de datos que se actualizan automáticamente en la columna de progreso. Escriba la fecha de inicio en la columna Inicio y el número de días en la columna Número de días. 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D95AC-9CDC-4A47-BC48-5A882CCEEE93}" name="áreas" displayName="áreas" ref="A1:A34" totalsRowShown="0" headerRowDxfId="28" dataDxfId="26" headerRowBorderDxfId="27" tableBorderDxfId="25">
  <autoFilter ref="A1:A34" xr:uid="{7EAD95AC-9CDC-4A47-BC48-5A882CCEEE93}"/>
  <sortState xmlns:xlrd2="http://schemas.microsoft.com/office/spreadsheetml/2017/richdata2" ref="A2:A34">
    <sortCondition ref="A1:A34"/>
  </sortState>
  <tableColumns count="1">
    <tableColumn id="1" xr3:uid="{877A363A-CC56-4FEB-83DB-EC080788ADB1}" name="Área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8BA385-0DDD-47E5-B1A0-EDA408479367}" name="Tabla3" displayName="Tabla3" ref="L1:L9" totalsRowShown="0" headerRowDxfId="23" headerRowBorderDxfId="22" tableBorderDxfId="21" totalsRowBorderDxfId="20">
  <autoFilter ref="L1:L9" xr:uid="{518BA385-0DDD-47E5-B1A0-EDA408479367}"/>
  <sortState xmlns:xlrd2="http://schemas.microsoft.com/office/spreadsheetml/2017/richdata2" ref="L2:L9">
    <sortCondition ref="L1:L9"/>
  </sortState>
  <tableColumns count="1">
    <tableColumn id="1" xr3:uid="{E38640F5-9390-4CAC-A065-9808F7B00F9C}" name="Procesos" dataDxfId="19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E91690-56F8-4014-B60F-34FD06EF9B55}" name="Tabla4" displayName="Tabla4" ref="N1:N8" totalsRowShown="0">
  <autoFilter ref="N1:N8" xr:uid="{0DE91690-56F8-4014-B60F-34FD06EF9B55}"/>
  <sortState xmlns:xlrd2="http://schemas.microsoft.com/office/spreadsheetml/2017/richdata2" ref="N2:N8">
    <sortCondition ref="N1:N8"/>
  </sortState>
  <tableColumns count="1">
    <tableColumn id="1" xr3:uid="{6B7F1A11-8A54-49C8-9F45-671D396862A3}" name="Origen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0CE9-49CD-4477-804C-9F4F0BD2025B}">
  <sheetPr codeName="Hoja2">
    <pageSetUpPr fitToPage="1"/>
  </sheetPr>
  <dimension ref="B3:X39"/>
  <sheetViews>
    <sheetView showGridLines="0" showRowColHeaders="0" view="pageLayout" zoomScale="130" zoomScaleNormal="100" zoomScaleSheetLayoutView="100" zoomScalePageLayoutView="130" workbookViewId="0">
      <selection activeCell="G33" sqref="G33"/>
    </sheetView>
  </sheetViews>
  <sheetFormatPr baseColWidth="10" defaultColWidth="4.88671875" defaultRowHeight="19.5" customHeight="1" x14ac:dyDescent="0.25"/>
  <cols>
    <col min="1" max="1" width="1.109375" style="35" customWidth="1"/>
    <col min="2" max="2" width="1.88671875" style="35" customWidth="1"/>
    <col min="3" max="20" width="4.88671875" style="35" customWidth="1"/>
    <col min="21" max="21" width="5.109375" style="35" customWidth="1"/>
    <col min="22" max="16383" width="4.88671875" style="35"/>
    <col min="16384" max="16384" width="0.6640625" style="35" customWidth="1"/>
  </cols>
  <sheetData>
    <row r="3" spans="2:24" ht="10.5" customHeight="1" x14ac:dyDescent="0.25">
      <c r="Q3" s="36"/>
    </row>
    <row r="4" spans="2:24" ht="19.5" customHeight="1" x14ac:dyDescent="0.25">
      <c r="P4" s="34" t="s">
        <v>0</v>
      </c>
      <c r="Q4" s="118"/>
      <c r="R4" s="119"/>
      <c r="S4" s="119"/>
      <c r="T4" s="119"/>
      <c r="U4" s="120"/>
    </row>
    <row r="5" spans="2:24" ht="19.5" customHeight="1" x14ac:dyDescent="0.25">
      <c r="P5" s="34" t="s">
        <v>378</v>
      </c>
      <c r="Q5" s="121"/>
      <c r="R5" s="119"/>
      <c r="S5" s="119"/>
      <c r="T5" s="119"/>
      <c r="U5" s="120"/>
      <c r="V5" s="37"/>
      <c r="W5" s="37"/>
      <c r="X5" s="37"/>
    </row>
    <row r="6" spans="2:24" ht="12.75" customHeight="1" x14ac:dyDescent="0.25">
      <c r="V6" s="37"/>
      <c r="W6" s="37"/>
      <c r="X6" s="37"/>
    </row>
    <row r="7" spans="2:24" ht="19.5" customHeight="1" x14ac:dyDescent="0.25">
      <c r="B7" s="51" t="s">
        <v>357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9"/>
      <c r="V7" s="37"/>
      <c r="W7" s="37"/>
      <c r="X7" s="37"/>
    </row>
    <row r="8" spans="2:24" ht="12.75" customHeight="1" x14ac:dyDescent="0.25">
      <c r="B8" s="40"/>
      <c r="U8" s="41"/>
      <c r="V8" s="37"/>
      <c r="W8" s="37"/>
      <c r="X8" s="37"/>
    </row>
    <row r="9" spans="2:24" ht="18.75" customHeight="1" x14ac:dyDescent="0.3">
      <c r="B9" s="40"/>
      <c r="D9" s="33" t="s">
        <v>389</v>
      </c>
      <c r="E9" s="123"/>
      <c r="F9" s="123"/>
      <c r="G9" s="123"/>
      <c r="H9" s="123"/>
      <c r="I9" s="123"/>
      <c r="J9" s="123"/>
      <c r="K9" s="123"/>
      <c r="L9" s="43"/>
      <c r="M9" s="43"/>
      <c r="N9" s="43"/>
      <c r="P9" s="33" t="s">
        <v>1</v>
      </c>
      <c r="Q9" s="128"/>
      <c r="R9" s="128"/>
      <c r="S9" s="128"/>
      <c r="T9" s="128"/>
      <c r="U9" s="129"/>
      <c r="V9" s="37"/>
      <c r="W9" s="37"/>
      <c r="X9" s="37"/>
    </row>
    <row r="10" spans="2:24" ht="18.75" customHeight="1" x14ac:dyDescent="0.3">
      <c r="B10" s="40"/>
      <c r="D10" s="33" t="s">
        <v>359</v>
      </c>
      <c r="E10" s="128"/>
      <c r="F10" s="128"/>
      <c r="G10" s="128"/>
      <c r="H10" s="128"/>
      <c r="I10" s="128"/>
      <c r="J10" s="128"/>
      <c r="K10" s="128"/>
      <c r="P10" s="33" t="s">
        <v>371</v>
      </c>
      <c r="Q10" s="130"/>
      <c r="R10" s="130"/>
      <c r="S10" s="130"/>
      <c r="T10" s="130"/>
      <c r="U10" s="131"/>
      <c r="V10" s="37"/>
      <c r="W10" s="37"/>
      <c r="X10" s="37"/>
    </row>
    <row r="11" spans="2:24" ht="14.25" customHeight="1" x14ac:dyDescent="0.25">
      <c r="B11" s="44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6"/>
      <c r="V11" s="37"/>
      <c r="W11" s="37"/>
      <c r="X11" s="37"/>
    </row>
    <row r="12" spans="2:24" ht="9.75" customHeight="1" x14ac:dyDescent="0.25">
      <c r="V12" s="37"/>
      <c r="W12" s="37"/>
      <c r="X12" s="37"/>
    </row>
    <row r="13" spans="2:24" ht="19.5" customHeight="1" x14ac:dyDescent="0.25">
      <c r="B13" s="51" t="s">
        <v>358</v>
      </c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37"/>
      <c r="W13" s="37"/>
      <c r="X13" s="37"/>
    </row>
    <row r="14" spans="2:24" ht="12.75" customHeight="1" x14ac:dyDescent="0.25">
      <c r="B14" s="40"/>
      <c r="U14" s="41"/>
      <c r="V14" s="37"/>
      <c r="W14" s="37"/>
      <c r="X14" s="37"/>
    </row>
    <row r="15" spans="2:24" ht="19.5" customHeight="1" x14ac:dyDescent="0.25">
      <c r="B15" s="40"/>
      <c r="C15" s="135"/>
      <c r="D15" s="135"/>
      <c r="E15" s="135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6"/>
    </row>
    <row r="16" spans="2:24" ht="19.5" customHeight="1" x14ac:dyDescent="0.25">
      <c r="B16" s="40"/>
      <c r="C16" s="135"/>
      <c r="D16" s="135"/>
      <c r="E16" s="135"/>
      <c r="F16" s="135"/>
      <c r="G16" s="135"/>
      <c r="H16" s="135"/>
      <c r="I16" s="135"/>
      <c r="J16" s="135"/>
      <c r="K16" s="135"/>
      <c r="L16" s="135"/>
      <c r="M16" s="135"/>
      <c r="N16" s="135"/>
      <c r="O16" s="135"/>
      <c r="P16" s="135"/>
      <c r="Q16" s="135"/>
      <c r="R16" s="135"/>
      <c r="S16" s="135"/>
      <c r="T16" s="135"/>
      <c r="U16" s="136"/>
    </row>
    <row r="17" spans="2:21" ht="19.5" customHeight="1" x14ac:dyDescent="0.25">
      <c r="B17" s="40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6"/>
    </row>
    <row r="18" spans="2:21" ht="19.5" customHeight="1" x14ac:dyDescent="0.25">
      <c r="B18" s="40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6"/>
    </row>
    <row r="19" spans="2:21" ht="19.5" customHeight="1" x14ac:dyDescent="0.25">
      <c r="B19" s="40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6"/>
    </row>
    <row r="20" spans="2:21" ht="19.5" customHeight="1" x14ac:dyDescent="0.25">
      <c r="B20" s="40"/>
      <c r="C20" s="135"/>
      <c r="D20" s="135"/>
      <c r="E20" s="135"/>
      <c r="F20" s="135"/>
      <c r="G20" s="13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6"/>
    </row>
    <row r="21" spans="2:21" ht="19.5" customHeight="1" x14ac:dyDescent="0.25">
      <c r="B21" s="40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6"/>
    </row>
    <row r="22" spans="2:21" ht="16.5" customHeight="1" x14ac:dyDescent="0.25">
      <c r="B22" s="40"/>
      <c r="C22" s="52" t="s">
        <v>377</v>
      </c>
      <c r="D22" s="47"/>
      <c r="E22" s="47"/>
      <c r="F22" s="47"/>
      <c r="G22" s="47"/>
      <c r="H22" s="47"/>
      <c r="I22" s="48"/>
      <c r="J22" s="48" t="s">
        <v>375</v>
      </c>
      <c r="K22" s="114"/>
      <c r="M22" s="48" t="s">
        <v>374</v>
      </c>
      <c r="N22" s="114"/>
      <c r="O22" s="49"/>
      <c r="P22" s="49"/>
      <c r="Q22" s="49"/>
      <c r="R22" s="49"/>
      <c r="S22" s="49"/>
      <c r="T22" s="49"/>
      <c r="U22" s="50"/>
    </row>
    <row r="23" spans="2:21" ht="18.75" customHeight="1" x14ac:dyDescent="0.25">
      <c r="B23" s="40"/>
      <c r="C23" s="122" t="s">
        <v>376</v>
      </c>
      <c r="D23" s="122"/>
      <c r="E23" s="122"/>
      <c r="F23" s="122"/>
      <c r="G23" s="122"/>
      <c r="H23" s="122"/>
      <c r="I23" s="122"/>
      <c r="J23" s="122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8"/>
    </row>
    <row r="24" spans="2:21" ht="19.5" customHeight="1" x14ac:dyDescent="0.25">
      <c r="B24" s="44"/>
      <c r="C24" s="101"/>
      <c r="D24" s="101"/>
      <c r="E24" s="101"/>
      <c r="F24" s="101"/>
      <c r="G24" s="101"/>
      <c r="H24" s="101"/>
      <c r="I24" s="101"/>
      <c r="J24" s="101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6"/>
    </row>
    <row r="25" spans="2:21" ht="11.25" customHeight="1" x14ac:dyDescent="0.25"/>
    <row r="26" spans="2:21" ht="19.5" customHeight="1" x14ac:dyDescent="0.25">
      <c r="B26" s="51" t="s">
        <v>367</v>
      </c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</row>
    <row r="27" spans="2:21" ht="12.75" customHeight="1" x14ac:dyDescent="0.25">
      <c r="B27" s="40"/>
      <c r="U27" s="41"/>
    </row>
    <row r="28" spans="2:21" ht="14.25" customHeight="1" x14ac:dyDescent="0.25">
      <c r="B28" s="40"/>
      <c r="C28" s="124" t="s">
        <v>2</v>
      </c>
      <c r="D28" s="124"/>
      <c r="E28" s="124"/>
      <c r="F28" s="124"/>
      <c r="G28" s="124"/>
      <c r="H28" s="124"/>
      <c r="I28" s="124"/>
      <c r="J28" s="125"/>
      <c r="K28" s="126" t="s">
        <v>3</v>
      </c>
      <c r="L28" s="124"/>
      <c r="M28" s="124"/>
      <c r="N28" s="124"/>
      <c r="O28" s="124"/>
      <c r="P28" s="124"/>
      <c r="Q28" s="125"/>
      <c r="R28" s="126" t="s">
        <v>4</v>
      </c>
      <c r="S28" s="124"/>
      <c r="T28" s="124"/>
      <c r="U28" s="127"/>
    </row>
    <row r="29" spans="2:21" ht="21" customHeight="1" x14ac:dyDescent="0.25">
      <c r="B29" s="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32"/>
      <c r="S29" s="132"/>
      <c r="T29" s="132"/>
      <c r="U29" s="132"/>
    </row>
    <row r="30" spans="2:21" ht="21" customHeight="1" x14ac:dyDescent="0.25">
      <c r="B30" s="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33"/>
      <c r="S30" s="133"/>
      <c r="T30" s="133"/>
      <c r="U30" s="133"/>
    </row>
    <row r="31" spans="2:21" ht="21" customHeight="1" x14ac:dyDescent="0.25">
      <c r="B31" s="40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3"/>
      <c r="S31" s="133"/>
      <c r="T31" s="133"/>
      <c r="U31" s="133"/>
    </row>
    <row r="32" spans="2:21" ht="21" customHeight="1" x14ac:dyDescent="0.25">
      <c r="B32" s="40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3"/>
      <c r="S32" s="133"/>
      <c r="T32" s="133"/>
      <c r="U32" s="133"/>
    </row>
    <row r="33" spans="2:21" ht="19.5" customHeight="1" x14ac:dyDescent="0.25">
      <c r="B33" s="44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6"/>
    </row>
    <row r="34" spans="2:21" ht="13.5" customHeight="1" x14ac:dyDescent="0.25"/>
    <row r="35" spans="2:21" ht="19.5" customHeight="1" x14ac:dyDescent="0.25">
      <c r="B35" s="51" t="s">
        <v>368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</row>
    <row r="36" spans="2:21" ht="19.5" customHeight="1" x14ac:dyDescent="0.25">
      <c r="B36" s="40"/>
      <c r="U36" s="41"/>
    </row>
    <row r="37" spans="2:21" ht="19.5" customHeight="1" x14ac:dyDescent="0.25">
      <c r="B37" s="40"/>
      <c r="I37" s="42" t="s">
        <v>370</v>
      </c>
      <c r="J37" s="128"/>
      <c r="K37" s="128"/>
      <c r="L37" s="128"/>
      <c r="M37" s="128"/>
      <c r="N37" s="128"/>
      <c r="O37" s="128"/>
      <c r="P37" s="128"/>
      <c r="Q37" s="128"/>
      <c r="U37" s="41"/>
    </row>
    <row r="38" spans="2:21" ht="19.5" customHeight="1" x14ac:dyDescent="0.25">
      <c r="B38" s="40"/>
      <c r="I38" s="42" t="s">
        <v>369</v>
      </c>
      <c r="J38" s="134"/>
      <c r="K38" s="134"/>
      <c r="L38" s="134"/>
      <c r="M38" s="134"/>
      <c r="N38" s="134"/>
      <c r="O38" s="134"/>
      <c r="P38" s="134"/>
      <c r="Q38" s="134"/>
      <c r="U38" s="41"/>
    </row>
    <row r="39" spans="2:21" ht="19.5" customHeight="1" x14ac:dyDescent="0.25">
      <c r="B39" s="44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6"/>
    </row>
  </sheetData>
  <sheetProtection algorithmName="SHA-512" hashValue="pqmme0lYWbrnLke8pFiYqmN7H7wqowmt8ndKW6nJ4ADaEsGfN0nprhPiqzAU0q7cm7nffpEzeVcVTN0XFZYNoA==" saltValue="TPPZmST5NIY5GOGjTOAbig==" spinCount="100000" sheet="1" objects="1" scenarios="1"/>
  <mergeCells count="26">
    <mergeCell ref="R29:U29"/>
    <mergeCell ref="R30:U30"/>
    <mergeCell ref="J37:Q37"/>
    <mergeCell ref="J38:Q38"/>
    <mergeCell ref="C15:U21"/>
    <mergeCell ref="K23:U23"/>
    <mergeCell ref="C32:J32"/>
    <mergeCell ref="K29:Q29"/>
    <mergeCell ref="K30:Q30"/>
    <mergeCell ref="K31:Q31"/>
    <mergeCell ref="K32:Q32"/>
    <mergeCell ref="C29:J29"/>
    <mergeCell ref="C30:J30"/>
    <mergeCell ref="C31:J31"/>
    <mergeCell ref="R32:U32"/>
    <mergeCell ref="R31:U31"/>
    <mergeCell ref="Q4:U4"/>
    <mergeCell ref="Q5:U5"/>
    <mergeCell ref="C23:J23"/>
    <mergeCell ref="E9:K9"/>
    <mergeCell ref="C28:J28"/>
    <mergeCell ref="K28:Q28"/>
    <mergeCell ref="R28:U28"/>
    <mergeCell ref="Q9:U9"/>
    <mergeCell ref="E10:K10"/>
    <mergeCell ref="Q10:U10"/>
  </mergeCells>
  <dataValidations disablePrompts="1" count="2">
    <dataValidation type="list" allowBlank="1" showInputMessage="1" showErrorMessage="1" sqref="E9:K9" xr:uid="{9B5AC85F-88C1-4574-94B3-CC3B2570BE4F}">
      <formula1>Procesos</formula1>
    </dataValidation>
    <dataValidation type="date" allowBlank="1" showInputMessage="1" showErrorMessage="1" sqref="Q5:U5" xr:uid="{F41A348F-9AAA-492A-B478-B5077C5462BC}">
      <formula1>TODAY()</formula1>
      <formula2>TODAY()+360</formula2>
    </dataValidation>
  </dataValidations>
  <printOptions horizontalCentered="1" verticalCentered="1"/>
  <pageMargins left="0.23622047244094491" right="0.23622047244094491" top="0.74803149606299213" bottom="0.74803149606299213" header="0.31496062992125984" footer="0.31496062992125984"/>
  <pageSetup orientation="portrait" r:id="rId1"/>
  <headerFooter>
    <oddHeader>&amp;L
&amp;G</oddHeader>
    <oddFooter>&amp;L&amp;"Segoe UI,Negrita"&amp;8Fecha Últ. Actualización:&amp;"Segoe UI,Normal"
dic-25&amp;C&amp;"Segoe UI,Normal"&amp;8SISTEMA DE GESTIÓN DE CALIDAD&amp;R&amp;"Segoe UI,Negrita"&amp;8Clave:&amp;"Segoe UI,Normal"
OOMRSC-20 Rev. 18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C6A599D1-2D2E-4403-AB7F-0330D0A95409}">
          <x14:formula1>
            <xm:f>'DATOS '!$A$2:$A$34</xm:f>
          </x14:formula1>
          <xm:sqref>E10:K10</xm:sqref>
        </x14:dataValidation>
        <x14:dataValidation type="list" allowBlank="1" showInputMessage="1" showErrorMessage="1" xr:uid="{D77A4997-8FF8-4A87-9E40-822A29652488}">
          <x14:formula1>
            <xm:f>'DATOS '!$N$2:$N$8</xm:f>
          </x14:formula1>
          <xm:sqref>Q9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88EB-F027-4DB5-8EDA-4DFEA1759E92}">
  <sheetPr codeName="Hoja4">
    <pageSetUpPr fitToPage="1"/>
  </sheetPr>
  <dimension ref="A1:P108"/>
  <sheetViews>
    <sheetView showGridLines="0" showRowColHeaders="0" view="pageLayout" zoomScale="115" zoomScaleNormal="60" zoomScalePageLayoutView="115" workbookViewId="0">
      <selection activeCell="A2" sqref="A2:J2"/>
    </sheetView>
  </sheetViews>
  <sheetFormatPr baseColWidth="10" defaultColWidth="0" defaultRowHeight="0" customHeight="1" zeroHeight="1" x14ac:dyDescent="0.35"/>
  <cols>
    <col min="1" max="1" width="8.6640625" style="53" customWidth="1"/>
    <col min="2" max="3" width="24" style="53" customWidth="1"/>
    <col min="4" max="7" width="15.6640625" style="54" customWidth="1"/>
    <col min="8" max="8" width="15.6640625" style="54" hidden="1" customWidth="1"/>
    <col min="9" max="10" width="11.6640625" style="54" customWidth="1"/>
    <col min="11" max="11" width="8.88671875" style="53" customWidth="1"/>
    <col min="12" max="12" width="8.88671875" style="53" hidden="1" customWidth="1"/>
    <col min="13" max="13" width="10.88671875" style="53" hidden="1" customWidth="1"/>
    <col min="14" max="16" width="0" style="53" hidden="1" customWidth="1"/>
    <col min="17" max="16384" width="8.88671875" style="53" hidden="1"/>
  </cols>
  <sheetData>
    <row r="1" spans="1:14" ht="68.25" customHeight="1" x14ac:dyDescent="0.35">
      <c r="G1" s="64" t="s">
        <v>5</v>
      </c>
      <c r="H1" s="64" t="s">
        <v>5</v>
      </c>
      <c r="I1" s="153" t="str">
        <f>IFERROR("AC#"&amp;REGISTRO!Q4 &amp;"/" &amp;RIGHT(YEAR(REGISTRO!Q5),2),"")</f>
        <v>AC#/00</v>
      </c>
      <c r="J1" s="153"/>
    </row>
    <row r="2" spans="1:14" ht="23.25" customHeight="1" x14ac:dyDescent="0.35">
      <c r="A2" s="166" t="s">
        <v>6</v>
      </c>
      <c r="B2" s="166"/>
      <c r="C2" s="166"/>
      <c r="D2" s="166"/>
      <c r="E2" s="166"/>
      <c r="F2" s="166"/>
      <c r="G2" s="166"/>
      <c r="H2" s="166"/>
      <c r="I2" s="166"/>
      <c r="J2" s="166"/>
    </row>
    <row r="3" spans="1:14" ht="20.25" customHeight="1" x14ac:dyDescent="0.35">
      <c r="A3" s="141" t="s">
        <v>7</v>
      </c>
      <c r="B3" s="141"/>
      <c r="C3" s="141"/>
      <c r="D3" s="141"/>
      <c r="E3" s="141"/>
      <c r="F3" s="141" t="s">
        <v>8</v>
      </c>
      <c r="G3" s="141"/>
      <c r="H3" s="141"/>
      <c r="I3" s="141" t="s">
        <v>9</v>
      </c>
      <c r="J3" s="141"/>
    </row>
    <row r="4" spans="1:14" ht="30" customHeight="1" x14ac:dyDescent="0.35">
      <c r="A4" s="164"/>
      <c r="B4" s="164"/>
      <c r="C4" s="164"/>
      <c r="D4" s="164"/>
      <c r="E4" s="164"/>
      <c r="F4" s="164"/>
      <c r="G4" s="164"/>
      <c r="H4" s="164"/>
      <c r="I4" s="165"/>
      <c r="J4" s="165"/>
    </row>
    <row r="5" spans="1:14" ht="8.4" customHeight="1" thickBot="1" x14ac:dyDescent="0.4">
      <c r="A5" s="54"/>
      <c r="B5" s="54"/>
      <c r="C5" s="54"/>
      <c r="I5" s="55"/>
      <c r="J5" s="55"/>
    </row>
    <row r="6" spans="1:14" ht="23.25" customHeight="1" thickBot="1" x14ac:dyDescent="0.4">
      <c r="A6" s="159" t="s">
        <v>379</v>
      </c>
      <c r="B6" s="160"/>
      <c r="C6" s="160"/>
      <c r="D6" s="160"/>
      <c r="E6" s="160"/>
      <c r="F6" s="160"/>
      <c r="G6" s="160"/>
      <c r="H6" s="160"/>
      <c r="I6" s="160"/>
      <c r="J6" s="161"/>
    </row>
    <row r="7" spans="1:14" ht="39.75" customHeight="1" thickBot="1" x14ac:dyDescent="0.4">
      <c r="A7" s="74" t="s">
        <v>332</v>
      </c>
      <c r="B7" s="162" t="s">
        <v>382</v>
      </c>
      <c r="C7" s="163"/>
      <c r="D7" s="102" t="str" cm="1">
        <f t="array" ref="D7:G7">MID(TRANSPOSE(IF(REGISTRO!$C$29:$C$32&lt;&gt;"",REGISTRO!$C$29:$C$32,"")),1,16)</f>
        <v/>
      </c>
      <c r="E7" s="102" t="str">
        <v/>
      </c>
      <c r="F7" s="102" t="str">
        <v/>
      </c>
      <c r="G7" s="102" t="str">
        <v/>
      </c>
      <c r="H7" s="74"/>
      <c r="I7" s="56" t="s">
        <v>10</v>
      </c>
      <c r="J7" s="56" t="s">
        <v>11</v>
      </c>
    </row>
    <row r="8" spans="1:14" ht="30" customHeight="1" x14ac:dyDescent="0.35">
      <c r="A8" s="71" t="str">
        <f>IFERROR(IF(B8="","",1),"")</f>
        <v/>
      </c>
      <c r="B8" s="154"/>
      <c r="C8" s="155"/>
      <c r="D8" s="103"/>
      <c r="E8" s="104"/>
      <c r="F8" s="104"/>
      <c r="G8" s="104"/>
      <c r="H8" s="75"/>
      <c r="I8" s="65" t="str">
        <f>IF(SUM(D8:H8)=0,"",SUM(D8:H8))</f>
        <v/>
      </c>
      <c r="J8" s="66" t="str">
        <f>IFERROR((I8)/SUM($I$8:$I$11),"")</f>
        <v/>
      </c>
    </row>
    <row r="9" spans="1:14" ht="30" customHeight="1" x14ac:dyDescent="0.35">
      <c r="A9" s="72" t="str">
        <f>IFERROR(IF(B9="","",A8+1),"")</f>
        <v/>
      </c>
      <c r="B9" s="154"/>
      <c r="C9" s="155"/>
      <c r="D9" s="103"/>
      <c r="E9" s="105"/>
      <c r="F9" s="105"/>
      <c r="G9" s="105"/>
      <c r="H9" s="76"/>
      <c r="I9" s="67" t="str">
        <f>IF(SUM(D9:H9)=0,"",SUM(D9:H9))</f>
        <v/>
      </c>
      <c r="J9" s="68" t="str">
        <f>IFERROR((I9)/SUM($I$8:$I$11),"")</f>
        <v/>
      </c>
    </row>
    <row r="10" spans="1:14" ht="30" customHeight="1" x14ac:dyDescent="0.35">
      <c r="A10" s="72" t="str">
        <f t="shared" ref="A10:A11" si="0">IFERROR(IF(B10="","",A9+1),"")</f>
        <v/>
      </c>
      <c r="B10" s="154"/>
      <c r="C10" s="155"/>
      <c r="D10" s="103"/>
      <c r="E10" s="105"/>
      <c r="F10" s="105"/>
      <c r="G10" s="105"/>
      <c r="H10" s="76"/>
      <c r="I10" s="67" t="str">
        <f>IF(SUM(D10:H10)=0,"",SUM(D10:H10))</f>
        <v/>
      </c>
      <c r="J10" s="68" t="str">
        <f>IFERROR((I10)/SUM($I$8:$I$11),"")</f>
        <v/>
      </c>
    </row>
    <row r="11" spans="1:14" ht="30" customHeight="1" thickBot="1" x14ac:dyDescent="0.4">
      <c r="A11" s="73" t="str">
        <f t="shared" si="0"/>
        <v/>
      </c>
      <c r="B11" s="157"/>
      <c r="C11" s="158"/>
      <c r="D11" s="106"/>
      <c r="E11" s="107"/>
      <c r="F11" s="107"/>
      <c r="G11" s="107"/>
      <c r="H11" s="77"/>
      <c r="I11" s="69" t="str">
        <f>IF(SUM(D11:H11)=0,"",SUM(D11:H11))</f>
        <v/>
      </c>
      <c r="J11" s="70" t="str">
        <f>IFERROR((I11)/SUM($I$8:$I$11),"")</f>
        <v/>
      </c>
    </row>
    <row r="12" spans="1:14" ht="12" customHeight="1" x14ac:dyDescent="0.35">
      <c r="A12" s="57"/>
      <c r="B12" s="58"/>
      <c r="C12" s="58"/>
      <c r="D12" s="53"/>
      <c r="E12" s="53"/>
      <c r="F12" s="151" t="s">
        <v>381</v>
      </c>
      <c r="G12" s="151"/>
      <c r="H12" s="151"/>
      <c r="I12" s="151"/>
      <c r="J12" s="151"/>
      <c r="L12" s="59"/>
      <c r="M12" s="60"/>
      <c r="N12" s="59"/>
    </row>
    <row r="13" spans="1:14" ht="30.75" customHeight="1" x14ac:dyDescent="0.35">
      <c r="B13" s="156" t="s">
        <v>380</v>
      </c>
      <c r="C13" s="156"/>
      <c r="D13" s="53"/>
      <c r="E13" s="53"/>
      <c r="F13" s="152"/>
      <c r="G13" s="152"/>
      <c r="H13" s="152"/>
      <c r="I13" s="152"/>
      <c r="J13" s="152"/>
      <c r="L13" s="54"/>
      <c r="M13" s="61"/>
      <c r="N13" s="54"/>
    </row>
    <row r="14" spans="1:14" ht="15" x14ac:dyDescent="0.35">
      <c r="B14" s="79" t="s">
        <v>375</v>
      </c>
      <c r="C14" s="79" t="s">
        <v>374</v>
      </c>
      <c r="F14" s="152"/>
      <c r="G14" s="152"/>
      <c r="H14" s="152"/>
      <c r="I14" s="152"/>
      <c r="J14" s="152"/>
    </row>
    <row r="15" spans="1:14" ht="24" customHeight="1" x14ac:dyDescent="0.35">
      <c r="B15" s="113"/>
      <c r="C15" s="113"/>
    </row>
    <row r="16" spans="1:14" ht="27.75" customHeight="1" x14ac:dyDescent="0.35">
      <c r="D16" s="94" t="s">
        <v>388</v>
      </c>
      <c r="E16" s="53"/>
      <c r="F16" s="53"/>
      <c r="G16" s="53"/>
      <c r="H16" s="53"/>
      <c r="I16" s="53"/>
      <c r="J16" s="53"/>
    </row>
    <row r="17" spans="1:9" ht="21" customHeight="1" x14ac:dyDescent="0.35">
      <c r="A17" s="142"/>
      <c r="B17" s="143"/>
      <c r="C17" s="143"/>
      <c r="D17" s="144"/>
      <c r="I17" s="62"/>
    </row>
    <row r="18" spans="1:9" ht="21" customHeight="1" x14ac:dyDescent="0.35">
      <c r="A18" s="145"/>
      <c r="B18" s="146"/>
      <c r="C18" s="146"/>
      <c r="D18" s="147"/>
    </row>
    <row r="19" spans="1:9" ht="21" customHeight="1" x14ac:dyDescent="0.35">
      <c r="A19" s="148"/>
      <c r="B19" s="149"/>
      <c r="C19" s="149"/>
      <c r="D19" s="150"/>
    </row>
    <row r="20" spans="1:9" ht="30" customHeight="1" x14ac:dyDescent="0.35"/>
    <row r="21" spans="1:9" ht="30" customHeight="1" x14ac:dyDescent="0.35"/>
    <row r="22" spans="1:9" ht="30.6" customHeight="1" x14ac:dyDescent="0.35"/>
    <row r="23" spans="1:9" ht="30" customHeight="1" x14ac:dyDescent="0.35"/>
    <row r="101" spans="1:1" ht="30" hidden="1" customHeight="1" x14ac:dyDescent="0.35">
      <c r="A101" s="63" t="str">
        <f ca="1">IFERROR(IF(#REF!="","",(IF(TODAY()&gt;=#REF!,1,IF(((DATEDIF(Inicio_del_proyecto,TODAY(),"D"))/DATEDIF(Inicio_del_proyecto,#REF!,"D"))&gt;100,1,((DATEDIF(Inicio_del_proyecto,TODAY(),"D"))/DATEDIF(Inicio_del_proyecto,$D27,"D")))))),"FÓRMULA AQUI")</f>
        <v>FÓRMULA AQUI</v>
      </c>
    </row>
    <row r="107" spans="1:1" ht="30" customHeight="1" x14ac:dyDescent="0.35"/>
    <row r="108" spans="1:1" ht="30" customHeight="1" x14ac:dyDescent="0.35"/>
  </sheetData>
  <sheetProtection algorithmName="SHA-512" hashValue="wsz2cWtgUuFFFfEGUe4Jb5xfiE4wMVjaSd4bM0lvbAmGnKkgitWUzC+Lq9Z8+uOAHdEOW5Ftr60SKdqjEEtIOQ==" saltValue="i355hWyQ5hJAafXzQXOfrA==" spinCount="100000" sheet="1" objects="1" scenarios="1"/>
  <dataConsolidate/>
  <mergeCells count="17">
    <mergeCell ref="F3:H3"/>
    <mergeCell ref="I3:J3"/>
    <mergeCell ref="A17:D19"/>
    <mergeCell ref="F12:J14"/>
    <mergeCell ref="I1:J1"/>
    <mergeCell ref="B8:C8"/>
    <mergeCell ref="B13:C13"/>
    <mergeCell ref="B11:C11"/>
    <mergeCell ref="A6:J6"/>
    <mergeCell ref="B7:C7"/>
    <mergeCell ref="B9:C9"/>
    <mergeCell ref="B10:C10"/>
    <mergeCell ref="A4:E4"/>
    <mergeCell ref="F4:H4"/>
    <mergeCell ref="I4:J4"/>
    <mergeCell ref="A2:J2"/>
    <mergeCell ref="A3:E3"/>
  </mergeCells>
  <conditionalFormatting sqref="A101">
    <cfRule type="dataBar" priority="52">
      <dataBar>
        <cfvo type="num" val="0"/>
        <cfvo type="num" val="1"/>
        <color rgb="FF00E266"/>
      </dataBar>
      <extLst>
        <ext xmlns:x14="http://schemas.microsoft.com/office/spreadsheetml/2009/9/main" uri="{B025F937-C7B1-47D3-B67F-A62EFF666E3E}">
          <x14:id>{33479E3D-B8B0-4560-A471-1ABFD4A7C373}</x14:id>
        </ext>
      </extLst>
    </cfRule>
  </conditionalFormatting>
  <conditionalFormatting sqref="D8:H11">
    <cfRule type="dataBar" priority="28">
      <dataBar>
        <cfvo type="min"/>
        <cfvo type="max"/>
        <color rgb="FFCCFFCC"/>
      </dataBar>
      <extLst>
        <ext xmlns:x14="http://schemas.microsoft.com/office/spreadsheetml/2009/9/main" uri="{B025F937-C7B1-47D3-B67F-A62EFF666E3E}">
          <x14:id>{24D30975-1CAE-4567-A55D-234BBA079B82}</x14:id>
        </ext>
      </extLst>
    </cfRule>
  </conditionalFormatting>
  <conditionalFormatting sqref="I1:J1">
    <cfRule type="cellIs" dxfId="13" priority="1" operator="equal">
      <formula>"AC#/00"</formula>
    </cfRule>
  </conditionalFormatting>
  <conditionalFormatting sqref="J8:J11">
    <cfRule type="cellIs" dxfId="12" priority="5" operator="equal">
      <formula>MAX($J$8:$J$11)</formula>
    </cfRule>
  </conditionalFormatting>
  <conditionalFormatting sqref="M13">
    <cfRule type="dataBar" priority="3">
      <dataBar>
        <cfvo type="min"/>
        <cfvo type="max"/>
        <color rgb="FFCCFFCC"/>
      </dataBar>
      <extLst>
        <ext xmlns:x14="http://schemas.microsoft.com/office/spreadsheetml/2009/9/main" uri="{B025F937-C7B1-47D3-B67F-A62EFF666E3E}">
          <x14:id>{16983F07-5359-4928-A745-C40355096A5E}</x14:id>
        </ext>
      </extLst>
    </cfRule>
  </conditionalFormatting>
  <dataValidations count="1">
    <dataValidation type="whole" allowBlank="1" showInputMessage="1" showErrorMessage="1" sqref="D10:H11 E9:H9 D8:H8" xr:uid="{BC14963C-C62A-443E-9E18-3ED916764446}">
      <formula1>1</formula1>
      <formula2>4</formula2>
    </dataValidation>
  </dataValidations>
  <printOptions horizontalCentered="1"/>
  <pageMargins left="0.22857142857142856" right="0.25" top="0.5" bottom="0.5" header="0.3" footer="0.3"/>
  <pageSetup paperSize="9" scale="99" orientation="landscape" r:id="rId1"/>
  <headerFooter differentFirst="1" scaleWithDoc="0">
    <oddFooter>Page &amp;P of &amp;N</oddFooter>
    <firstHeader>&amp;L&amp;G</firstHeader>
    <firstFooter>&amp;L&amp;"Segoe UI,Negrita"&amp;8Fecha Últ. Actualización:&amp;"Segoe UI,Normal"
dic-25&amp;C&amp;"Segoe UI,Normal"&amp;8SISTEMA DE GESTIÓN DE CALIDAD&amp;R&amp;"Segoe UI,Negrita"&amp;8Clave:&amp;"Segoe UI,Normal"
OOMRSC-20 Rev. 18</firstFoot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479E3D-B8B0-4560-A471-1ABFD4A7C37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A101</xm:sqref>
        </x14:conditionalFormatting>
        <x14:conditionalFormatting xmlns:xm="http://schemas.microsoft.com/office/excel/2006/main">
          <x14:cfRule type="expression" priority="2" id="{D163C14B-9B7E-4BD1-917E-A6D5A0423880}">
            <xm:f>'DATOS '!$C$4=1</xm:f>
            <x14:dxf>
              <font>
                <b/>
                <i val="0"/>
              </font>
              <fill>
                <patternFill>
                  <bgColor rgb="FFFFC000"/>
                </patternFill>
              </fill>
            </x14:dxf>
          </x14:cfRule>
          <xm:sqref>B8</xm:sqref>
        </x14:conditionalFormatting>
        <x14:conditionalFormatting xmlns:xm="http://schemas.microsoft.com/office/excel/2006/main">
          <x14:cfRule type="expression" priority="54" id="{00000000-000E-0000-0100-000005000000}">
            <xm:f>'DATOS '!$C$5=1</xm:f>
            <x14:dxf>
              <font>
                <b/>
                <i val="0"/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B9</xm:sqref>
        </x14:conditionalFormatting>
        <x14:conditionalFormatting xmlns:xm="http://schemas.microsoft.com/office/excel/2006/main">
          <x14:cfRule type="expression" priority="56" id="{00000000-000E-0000-0100-000003000000}">
            <xm:f>'DATOS '!$C$6=1</xm:f>
            <x14:dxf>
              <font>
                <b/>
                <i val="0"/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55" id="{00000000-000E-0000-0100-000004000000}">
            <xm:f>'DATOS '!$C$7=1</xm:f>
            <x14:dxf>
              <font>
                <b/>
                <i val="0"/>
                <color theme="1"/>
              </font>
              <fill>
                <patternFill>
                  <bgColor theme="7" tint="0.39994506668294322"/>
                </patternFill>
              </fill>
            </x14:dxf>
          </x14:cfRule>
          <xm:sqref>B11</xm:sqref>
        </x14:conditionalFormatting>
        <x14:conditionalFormatting xmlns:xm="http://schemas.microsoft.com/office/excel/2006/main">
          <x14:cfRule type="dataBar" id="{24D30975-1CAE-4567-A55D-234BBA079B82}">
            <x14:dataBar minLength="0" maxLength="100" border="1" gradient="0" negativeBarBorderColorSameAsPositive="0">
              <x14:cfvo type="autoMin"/>
              <x14:cfvo type="autoMax"/>
              <x14:borderColor rgb="FF00E668"/>
              <x14:negativeFillColor rgb="FFFF0000"/>
              <x14:negativeBorderColor rgb="FFFF0000"/>
              <x14:axisColor rgb="FF000000"/>
            </x14:dataBar>
          </x14:cfRule>
          <xm:sqref>D8:H11</xm:sqref>
        </x14:conditionalFormatting>
        <x14:conditionalFormatting xmlns:xm="http://schemas.microsoft.com/office/excel/2006/main">
          <x14:cfRule type="cellIs" priority="57" operator="equal" id="{BF35839D-6303-435D-9DCF-C6E42E507AD9}">
            <xm:f>IFERROR("AC#"&amp;"/" &amp;RIGHT(YEAR(REGISTRO!#REF!),2),"")</xm:f>
            <x14:dxf>
              <font>
                <color rgb="FF004A82"/>
              </font>
            </x14:dxf>
          </x14:cfRule>
          <xm:sqref>I1</xm:sqref>
        </x14:conditionalFormatting>
        <x14:conditionalFormatting xmlns:xm="http://schemas.microsoft.com/office/excel/2006/main">
          <x14:cfRule type="dataBar" id="{16983F07-5359-4928-A745-C40355096A5E}">
            <x14:dataBar minLength="0" maxLength="100" border="1" gradient="0" negativeBarBorderColorSameAsPositive="0">
              <x14:cfvo type="autoMin"/>
              <x14:cfvo type="autoMax"/>
              <x14:borderColor rgb="FF00E668"/>
              <x14:negativeFillColor rgb="FFFF0000"/>
              <x14:negativeBorderColor rgb="FFFF0000"/>
              <x14:axisColor rgb="FF000000"/>
            </x14:dataBar>
          </x14:cfRule>
          <xm:sqref>M13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7F6E-1F46-4E3A-9337-279332599B9C}">
  <sheetPr codeName="Hoja1">
    <pageSetUpPr fitToPage="1"/>
  </sheetPr>
  <dimension ref="A1:N29"/>
  <sheetViews>
    <sheetView showGridLines="0" showRowColHeaders="0" view="pageLayout" zoomScaleNormal="60" workbookViewId="0">
      <selection activeCell="B9" sqref="B9"/>
    </sheetView>
  </sheetViews>
  <sheetFormatPr baseColWidth="10" defaultColWidth="0" defaultRowHeight="0" customHeight="1" zeroHeight="1" x14ac:dyDescent="0.35"/>
  <cols>
    <col min="1" max="1" width="5.44140625" style="53" customWidth="1"/>
    <col min="2" max="2" width="63.5546875" style="53" customWidth="1"/>
    <col min="3" max="3" width="22.6640625" style="53" bestFit="1" customWidth="1"/>
    <col min="4" max="4" width="13.109375" style="53" customWidth="1"/>
    <col min="5" max="7" width="12.44140625" style="54" customWidth="1"/>
    <col min="8" max="8" width="25.33203125" style="54" customWidth="1"/>
    <col min="9" max="9" width="18.88671875" style="54" customWidth="1"/>
    <col min="10" max="10" width="11.109375" style="53" customWidth="1"/>
    <col min="11" max="16384" width="8.88671875" style="53" hidden="1"/>
  </cols>
  <sheetData>
    <row r="1" spans="2:14" ht="111" customHeight="1" x14ac:dyDescent="0.4">
      <c r="H1" s="98" t="s">
        <v>5</v>
      </c>
      <c r="I1" s="99" t="str">
        <f>IFERROR("AC#"&amp;REGISTRO!$Q$4 &amp;"/" &amp;RIGHT(YEAR(REGISTRO!$Q$5),2),"")</f>
        <v>AC#/00</v>
      </c>
    </row>
    <row r="2" spans="2:14" ht="39" customHeight="1" x14ac:dyDescent="0.35">
      <c r="B2" s="80" t="s">
        <v>322</v>
      </c>
      <c r="C2" s="167" t="str">
        <f>IFERROR(INDEX(ANÁLISIS!$B$8:$B$11,MATCH(MAX(ANÁLISIS!$J$8:$J$11),ANÁLISIS!$J$8:$J$11,0)),"")</f>
        <v/>
      </c>
      <c r="D2" s="167"/>
      <c r="E2" s="167"/>
      <c r="F2" s="167"/>
      <c r="G2" s="167"/>
      <c r="H2" s="81" t="s">
        <v>387</v>
      </c>
      <c r="I2" s="100">
        <f>WORKDAY(MAX(ACTIVIDADES[Fecha de término])+3,2)</f>
        <v>5</v>
      </c>
      <c r="N2" s="82" t="s">
        <v>318</v>
      </c>
    </row>
    <row r="3" spans="2:14" ht="7.5" customHeight="1" x14ac:dyDescent="0.35">
      <c r="B3"/>
      <c r="C3"/>
      <c r="D3"/>
      <c r="E3"/>
      <c r="F3"/>
      <c r="G3"/>
      <c r="H3"/>
      <c r="I3" s="14"/>
      <c r="N3" s="82"/>
    </row>
    <row r="4" spans="2:14" ht="30" customHeight="1" x14ac:dyDescent="0.35">
      <c r="B4" s="95" t="s">
        <v>383</v>
      </c>
      <c r="C4" s="92" t="s">
        <v>375</v>
      </c>
      <c r="D4" s="112"/>
      <c r="E4" s="92" t="s">
        <v>374</v>
      </c>
      <c r="F4" s="112"/>
      <c r="G4" s="87"/>
      <c r="H4" s="88" t="s">
        <v>384</v>
      </c>
      <c r="I4" s="115">
        <f>WORKDAY(MAX(ACTIVIDADES[1er. Replanteo])+3,2)</f>
        <v>5</v>
      </c>
      <c r="N4" s="82"/>
    </row>
    <row r="5" spans="2:14" ht="7.5" customHeight="1" x14ac:dyDescent="0.35">
      <c r="B5" s="86"/>
      <c r="C5" s="90"/>
      <c r="D5" s="91"/>
      <c r="E5" s="90"/>
      <c r="F5" s="91"/>
      <c r="G5" s="87"/>
      <c r="H5" s="88"/>
      <c r="I5" s="116"/>
      <c r="N5" s="82"/>
    </row>
    <row r="6" spans="2:14" ht="30" customHeight="1" x14ac:dyDescent="0.35">
      <c r="B6"/>
      <c r="C6"/>
      <c r="D6"/>
      <c r="E6"/>
      <c r="F6"/>
      <c r="G6" s="87"/>
      <c r="H6" s="88" t="s">
        <v>385</v>
      </c>
      <c r="I6" s="115">
        <f>WORKDAY(MAX(ACTIVIDADES[2do. Replanteo])+3,2)</f>
        <v>5</v>
      </c>
      <c r="N6" s="82"/>
    </row>
    <row r="7" spans="2:14" ht="8.25" customHeight="1" x14ac:dyDescent="0.35">
      <c r="B7" s="93"/>
      <c r="C7" s="92"/>
      <c r="D7" s="91"/>
      <c r="E7" s="92"/>
      <c r="F7" s="91"/>
      <c r="G7" s="87"/>
      <c r="H7" s="88"/>
      <c r="I7" s="89"/>
      <c r="N7" s="82"/>
    </row>
    <row r="8" spans="2:14" ht="33.75" customHeight="1" x14ac:dyDescent="0.35">
      <c r="B8" s="83" t="s">
        <v>309</v>
      </c>
      <c r="C8" s="84" t="s">
        <v>310</v>
      </c>
      <c r="D8" s="84" t="s">
        <v>311</v>
      </c>
      <c r="E8" s="84" t="s">
        <v>312</v>
      </c>
      <c r="F8" s="84" t="s">
        <v>320</v>
      </c>
      <c r="G8" s="84" t="s">
        <v>321</v>
      </c>
      <c r="H8" s="84" t="s">
        <v>317</v>
      </c>
      <c r="I8" s="97" t="s">
        <v>386</v>
      </c>
    </row>
    <row r="9" spans="2:14" s="85" customFormat="1" ht="41.25" customHeight="1" x14ac:dyDescent="0.35">
      <c r="B9" s="117"/>
      <c r="C9" s="108"/>
      <c r="D9" s="96" t="str" cm="1">
        <f t="array" aca="1" ref="D9" ca="1">IFERROR(IF(ACTIVIDADES[[#This Row],[Fecha de término]]="","",_xlfn.IFS(ACTIVIDADES[[#This Row],[Resultado Verificado (Auditor)]]="✔️",1,ACTIVIDADES[[#This Row],[Fecha de término]]&gt;TODAY(),DATEDIF(REGISTRO!$Q$5,TODAY(),"D")/DATEDIF(REGISTRO!$Q$5,ACTIVIDADES[[#This Row],[Fecha de término]],"D"),ACTIVIDADES[[#This Row],[1er. Replanteo]]&gt;TODAY(),DATEDIF(REGISTRO!$Q$5,TODAY(),"D")/DATEDIF(REGISTRO!$Q$5,ACTIVIDADES[[#This Row],[1er. Replanteo]],"D"),ACTIVIDADES[[#This Row],[2do. Replanteo]]&gt;TODAY(),DATEDIF(REGISTRO!$Q$5,TODAY(),"D")/DATEDIF(REGISTRO!$Q$5,ACTIVIDADES[[#This Row],[2do. Replanteo]],"D"))),"Actividad para revisión")</f>
        <v/>
      </c>
      <c r="E9" s="109"/>
      <c r="F9" s="109"/>
      <c r="G9" s="109"/>
      <c r="H9" s="109"/>
      <c r="I9" s="110"/>
      <c r="J9" s="26"/>
    </row>
    <row r="10" spans="2:14" s="85" customFormat="1" ht="41.25" customHeight="1" x14ac:dyDescent="0.3">
      <c r="B10" s="117"/>
      <c r="C10" s="108"/>
      <c r="D10" s="96" t="str" cm="1">
        <f t="array" aca="1" ref="D10" ca="1">IFERROR(IF(ACTIVIDADES[[#This Row],[Fecha de término]]="","",_xlfn.IFS(ACTIVIDADES[[#This Row],[Resultado Verificado (Auditor)]]="✔️",1,ACTIVIDADES[[#This Row],[Fecha de término]]&gt;TODAY(),DATEDIF(REGISTRO!$Q$5,TODAY(),"D")/DATEDIF(REGISTRO!$Q$5,ACTIVIDADES[[#This Row],[Fecha de término]],"D"),ACTIVIDADES[[#This Row],[1er. Replanteo]]&gt;TODAY(),DATEDIF(REGISTRO!$Q$5,TODAY(),"D")/DATEDIF(REGISTRO!$Q$5,ACTIVIDADES[[#This Row],[1er. Replanteo]],"D"),ACTIVIDADES[[#This Row],[2do. Replanteo]]&gt;TODAY(),DATEDIF(REGISTRO!$Q$5,TODAY(),"D")/DATEDIF(REGISTRO!$Q$5,ACTIVIDADES[[#This Row],[2do. Replanteo]],"D"))),"Actividad para revisión")</f>
        <v/>
      </c>
      <c r="E10" s="109"/>
      <c r="F10" s="109"/>
      <c r="G10" s="109"/>
      <c r="H10" s="109"/>
      <c r="I10" s="110"/>
    </row>
    <row r="11" spans="2:14" s="85" customFormat="1" ht="41.25" customHeight="1" x14ac:dyDescent="0.35">
      <c r="B11" s="117"/>
      <c r="C11" s="108"/>
      <c r="D11" s="96" t="str" cm="1">
        <f t="array" aca="1" ref="D11" ca="1">IFERROR(IF(ACTIVIDADES[[#This Row],[Fecha de término]]="","",_xlfn.IFS(ACTIVIDADES[[#This Row],[Resultado Verificado (Auditor)]]="✔️",1,ACTIVIDADES[[#This Row],[Fecha de término]]&gt;TODAY(),DATEDIF(REGISTRO!$Q$5,TODAY(),"D")/DATEDIF(REGISTRO!$Q$5,ACTIVIDADES[[#This Row],[Fecha de término]],"D"),ACTIVIDADES[[#This Row],[1er. Replanteo]]&gt;TODAY(),DATEDIF(REGISTRO!$Q$5,TODAY(),"D")/DATEDIF(REGISTRO!$Q$5,ACTIVIDADES[[#This Row],[1er. Replanteo]],"D"),ACTIVIDADES[[#This Row],[2do. Replanteo]]&gt;TODAY(),DATEDIF(REGISTRO!$Q$5,TODAY(),"D")/DATEDIF(REGISTRO!$Q$5,ACTIVIDADES[[#This Row],[2do. Replanteo]],"D"))),"Actividad para revisión")</f>
        <v/>
      </c>
      <c r="E11" s="109"/>
      <c r="F11" s="109"/>
      <c r="G11" s="109"/>
      <c r="H11" s="111"/>
      <c r="I11" s="110"/>
      <c r="J11" s="26"/>
    </row>
    <row r="12" spans="2:14" s="85" customFormat="1" ht="41.25" customHeight="1" x14ac:dyDescent="0.35">
      <c r="B12" s="117"/>
      <c r="C12" s="108"/>
      <c r="D12" s="96" t="str" cm="1">
        <f t="array" aca="1" ref="D12" ca="1">IFERROR(IF(ACTIVIDADES[[#This Row],[Fecha de término]]="","",_xlfn.IFS(ACTIVIDADES[[#This Row],[Resultado Verificado (Auditor)]]="✔️",1,ACTIVIDADES[[#This Row],[Fecha de término]]&gt;TODAY(),DATEDIF(REGISTRO!$Q$5,TODAY(),"D")/DATEDIF(REGISTRO!$Q$5,ACTIVIDADES[[#This Row],[Fecha de término]],"D"),ACTIVIDADES[[#This Row],[1er. Replanteo]]&gt;TODAY(),DATEDIF(REGISTRO!$Q$5,TODAY(),"D")/DATEDIF(REGISTRO!$Q$5,ACTIVIDADES[[#This Row],[1er. Replanteo]],"D"),ACTIVIDADES[[#This Row],[2do. Replanteo]]&gt;TODAY(),DATEDIF(REGISTRO!$Q$5,TODAY(),"D")/DATEDIF(REGISTRO!$Q$5,ACTIVIDADES[[#This Row],[2do. Replanteo]],"D"))),"Actividad para revisión")</f>
        <v/>
      </c>
      <c r="E12" s="109"/>
      <c r="F12" s="109"/>
      <c r="G12" s="109"/>
      <c r="H12" s="109"/>
      <c r="I12" s="110"/>
      <c r="J12" s="26"/>
    </row>
    <row r="13" spans="2:14" s="85" customFormat="1" ht="41.25" customHeight="1" x14ac:dyDescent="0.35">
      <c r="B13" s="117"/>
      <c r="C13" s="108"/>
      <c r="D13" s="96" t="str" cm="1">
        <f t="array" aca="1" ref="D13" ca="1">IFERROR(IF(ACTIVIDADES[[#This Row],[Fecha de término]]="","",_xlfn.IFS(ACTIVIDADES[[#This Row],[Resultado Verificado (Auditor)]]="✔️",1,ACTIVIDADES[[#This Row],[Fecha de término]]&gt;TODAY(),DATEDIF(REGISTRO!$Q$5,TODAY(),"D")/DATEDIF(REGISTRO!$Q$5,ACTIVIDADES[[#This Row],[Fecha de término]],"D"),ACTIVIDADES[[#This Row],[1er. Replanteo]]&gt;TODAY(),DATEDIF(REGISTRO!$Q$5,TODAY(),"D")/DATEDIF(REGISTRO!$Q$5,ACTIVIDADES[[#This Row],[1er. Replanteo]],"D"),ACTIVIDADES[[#This Row],[2do. Replanteo]]&gt;TODAY(),DATEDIF(REGISTRO!$Q$5,TODAY(),"D")/DATEDIF(REGISTRO!$Q$5,ACTIVIDADES[[#This Row],[2do. Replanteo]],"D"))),"Actividad para revisión")</f>
        <v/>
      </c>
      <c r="E13" s="109"/>
      <c r="F13" s="109"/>
      <c r="G13" s="109"/>
      <c r="H13" s="109"/>
      <c r="I13" s="110"/>
      <c r="J13" s="26"/>
    </row>
    <row r="14" spans="2:14" ht="54" customHeight="1" x14ac:dyDescent="0.35"/>
    <row r="15" spans="2:14" ht="30" customHeight="1" x14ac:dyDescent="0.35">
      <c r="B15" s="53" t="str" cm="1">
        <f t="array" aca="1" ref="B15" ca="1">IFERROR(IF(Fecha_término="","",(IF(TODAY()&gt;=Fecha_término,1,IF(((DATEDIF(Fecha_Inicio,TODAY(),"D"))/DATEDIF(Fecha_Inicio,Fecha_término,"D"))&gt;100,1,((DATEDIF(Fecha_Inicio,TODAY(),"D"))/DATEDIF(Fecha_Inicio,Fecha_término,"D")))))),"")</f>
        <v/>
      </c>
      <c r="H15" s="53"/>
    </row>
    <row r="16" spans="2:14" ht="30" customHeight="1" x14ac:dyDescent="0.35"/>
    <row r="17" ht="30" customHeight="1" x14ac:dyDescent="0.35"/>
    <row r="25" ht="30" customHeight="1" x14ac:dyDescent="0.35"/>
    <row r="26" ht="30" customHeight="1" x14ac:dyDescent="0.35"/>
    <row r="27" ht="30" customHeight="1" x14ac:dyDescent="0.35"/>
    <row r="28" ht="30" customHeight="1" x14ac:dyDescent="0.35"/>
    <row r="29" ht="30" customHeight="1" x14ac:dyDescent="0.35"/>
  </sheetData>
  <sheetProtection algorithmName="SHA-512" hashValue="vZsPT/1x/7dzd2GwLb91Z4WWP53DRCukANLhX2Gj7kRufCA99mByxWDDkAitGsBTlF6P8RfCTSLW0gO4YVxgQw==" saltValue="M9vcZ5BUOOvKieqirB6s9A==" spinCount="100000" sheet="1" objects="1" scenarios="1"/>
  <dataConsolidate/>
  <mergeCells count="1">
    <mergeCell ref="C2:G2"/>
  </mergeCells>
  <conditionalFormatting sqref="D9:D13">
    <cfRule type="cellIs" dxfId="11" priority="9" operator="equal">
      <formula>"Actividad para revisión"</formula>
    </cfRule>
    <cfRule type="expression" dxfId="10" priority="10">
      <formula>$I9="✔️"</formula>
    </cfRule>
    <cfRule type="colorScale" priority="11">
      <colorScale>
        <cfvo type="num" val="0"/>
        <cfvo type="num" val="0.5"/>
        <cfvo type="num" val="0.99"/>
        <color rgb="FF00B050"/>
        <color rgb="FFFFC000"/>
        <color rgb="FFFF0000"/>
      </colorScale>
    </cfRule>
  </conditionalFormatting>
  <conditionalFormatting sqref="I1">
    <cfRule type="cellIs" dxfId="9" priority="2" operator="equal">
      <formula>"AC#/00"</formula>
    </cfRule>
  </conditionalFormatting>
  <conditionalFormatting sqref="I2">
    <cfRule type="cellIs" dxfId="7" priority="1" operator="equal">
      <formula>5</formula>
    </cfRule>
  </conditionalFormatting>
  <conditionalFormatting sqref="I4">
    <cfRule type="cellIs" dxfId="6" priority="5" operator="equal">
      <formula>5</formula>
    </cfRule>
    <cfRule type="cellIs" dxfId="5" priority="7" operator="equal">
      <formula>0</formula>
    </cfRule>
  </conditionalFormatting>
  <conditionalFormatting sqref="I6">
    <cfRule type="cellIs" dxfId="4" priority="3" operator="equal">
      <formula>5</formula>
    </cfRule>
    <cfRule type="cellIs" dxfId="3" priority="4" operator="equal">
      <formula>0</formula>
    </cfRule>
  </conditionalFormatting>
  <dataValidations xWindow="85" yWindow="428" count="2">
    <dataValidation allowBlank="1" showInputMessage="1" showErrorMessage="1" sqref="D9:D13" xr:uid="{B2AB487F-7B04-4B63-A1AD-BD793E31255A}"/>
    <dataValidation type="list" allowBlank="1" showInputMessage="1" showErrorMessage="1" sqref="I9:I13" xr:uid="{91F635CA-49E4-45EC-B841-E23D579DB8F1}">
      <formula1>IF(E9="","",Lista_Verificación)</formula1>
    </dataValidation>
  </dataValidations>
  <printOptions horizontalCentered="1"/>
  <pageMargins left="0.23622047244094491" right="0.23622047244094491" top="0.51181102362204722" bottom="0.51181102362204722" header="0.31496062992125984" footer="0.31496062992125984"/>
  <pageSetup paperSize="9" scale="76" orientation="landscape" r:id="rId1"/>
  <headerFooter differentFirst="1" scaleWithDoc="0">
    <oddFooter>Page &amp;P of &amp;N</oddFooter>
    <firstHeader>&amp;L&amp;G</firstHeader>
    <firstFooter>&amp;L&amp;"Segoe UI,Negrita"&amp;8Fecha Últ. Actualización:&amp;"Segoe UI,Normal"
dic-25&amp;C&amp;"Segoe UI,Normal"&amp;8SISTEMA DE GESTIÓN DE CALIDAD&amp;R&amp;"Segoe UI,Negrita"&amp;8Clave:&amp;"Segoe UI,Normal"
OOMRSC-20 Rev. 18</firstFooter>
  </headerFooter>
  <drawing r:id="rId2"/>
  <legacyDrawingHF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4" operator="equal" id="{DC63E394-0F8A-4803-A464-E6C1AC3A13AB}">
            <xm:f>IFERROR("AC#"&amp;"/" &amp;RIGHT(YEAR(REGISTRO!#REF!),2),"")</xm:f>
            <x14:dxf>
              <font>
                <color rgb="FF004A82"/>
              </font>
              <fill>
                <patternFill patternType="solid">
                  <bgColor rgb="FF004A82"/>
                </patternFill>
              </fill>
            </x14:dxf>
          </x14:cfRule>
          <xm:sqref>I1:I2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85" yWindow="428" count="1">
        <x14:dataValidation type="list" allowBlank="1" showInputMessage="1" showErrorMessage="1" xr:uid="{1A0D7A9E-5A11-40ED-A9C6-54B894FF5BF8}">
          <x14:formula1>
            <xm:f>REGISTRO!$C$29:$C$32</xm:f>
          </x14:formula1>
          <xm:sqref>C9:C13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AB08B-5080-4D6A-809B-69166A55D4DF}">
  <sheetPr codeName="Hoja6">
    <tabColor rgb="FFFFC000"/>
  </sheetPr>
  <dimension ref="A1:X28"/>
  <sheetViews>
    <sheetView showGridLines="0" view="pageLayout" zoomScale="85" zoomScaleNormal="100" zoomScalePageLayoutView="85" workbookViewId="0">
      <selection sqref="A1:X1"/>
    </sheetView>
  </sheetViews>
  <sheetFormatPr baseColWidth="10" defaultColWidth="6.44140625" defaultRowHeight="14.4" x14ac:dyDescent="0.3"/>
  <cols>
    <col min="1" max="16384" width="6.44140625" style="27"/>
  </cols>
  <sheetData>
    <row r="1" spans="1:24" ht="47.25" customHeight="1" x14ac:dyDescent="0.3">
      <c r="A1" s="168" t="s">
        <v>354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</row>
    <row r="2" spans="1:24" ht="18" x14ac:dyDescent="0.3">
      <c r="A2" s="30" t="s">
        <v>334</v>
      </c>
    </row>
    <row r="3" spans="1:24" x14ac:dyDescent="0.3">
      <c r="A3" s="32" t="s">
        <v>347</v>
      </c>
    </row>
    <row r="4" spans="1:24" ht="18" x14ac:dyDescent="0.3">
      <c r="A4" s="30"/>
      <c r="B4" s="27" t="s">
        <v>346</v>
      </c>
    </row>
    <row r="5" spans="1:24" ht="11.25" customHeight="1" x14ac:dyDescent="0.3">
      <c r="A5" s="30"/>
    </row>
    <row r="6" spans="1:24" x14ac:dyDescent="0.3">
      <c r="A6" s="28" t="s">
        <v>333</v>
      </c>
    </row>
    <row r="7" spans="1:24" x14ac:dyDescent="0.3">
      <c r="A7" s="29" t="s">
        <v>341</v>
      </c>
    </row>
    <row r="8" spans="1:24" x14ac:dyDescent="0.3">
      <c r="A8" s="29" t="s">
        <v>342</v>
      </c>
    </row>
    <row r="9" spans="1:24" x14ac:dyDescent="0.3">
      <c r="A9" s="29" t="s">
        <v>343</v>
      </c>
    </row>
    <row r="10" spans="1:24" x14ac:dyDescent="0.3">
      <c r="A10" s="29" t="s">
        <v>344</v>
      </c>
    </row>
    <row r="11" spans="1:24" x14ac:dyDescent="0.3">
      <c r="A11" s="29" t="s">
        <v>345</v>
      </c>
    </row>
    <row r="13" spans="1:24" ht="18" x14ac:dyDescent="0.3">
      <c r="A13" s="30" t="s">
        <v>353</v>
      </c>
    </row>
    <row r="14" spans="1:24" x14ac:dyDescent="0.3">
      <c r="A14" s="28" t="s">
        <v>336</v>
      </c>
    </row>
    <row r="16" spans="1:24" x14ac:dyDescent="0.3">
      <c r="A16" s="28" t="s">
        <v>349</v>
      </c>
    </row>
    <row r="17" spans="1:1" ht="16.2" x14ac:dyDescent="0.3">
      <c r="A17" s="29" t="s">
        <v>350</v>
      </c>
    </row>
    <row r="18" spans="1:1" ht="16.2" x14ac:dyDescent="0.3">
      <c r="A18" s="29" t="s">
        <v>351</v>
      </c>
    </row>
    <row r="20" spans="1:1" x14ac:dyDescent="0.3">
      <c r="A20" s="27" t="s">
        <v>352</v>
      </c>
    </row>
    <row r="21" spans="1:1" ht="21" customHeight="1" x14ac:dyDescent="0.3"/>
    <row r="22" spans="1:1" ht="18" x14ac:dyDescent="0.3">
      <c r="A22" s="30" t="s">
        <v>335</v>
      </c>
    </row>
    <row r="23" spans="1:1" x14ac:dyDescent="0.3">
      <c r="A23" s="28" t="s">
        <v>339</v>
      </c>
    </row>
    <row r="24" spans="1:1" x14ac:dyDescent="0.3">
      <c r="A24" s="27" t="s">
        <v>340</v>
      </c>
    </row>
    <row r="25" spans="1:1" x14ac:dyDescent="0.3">
      <c r="A25" s="31" t="s">
        <v>338</v>
      </c>
    </row>
    <row r="26" spans="1:1" x14ac:dyDescent="0.3">
      <c r="A26" s="31" t="s">
        <v>337</v>
      </c>
    </row>
    <row r="28" spans="1:1" x14ac:dyDescent="0.3">
      <c r="A28" s="27" t="s">
        <v>348</v>
      </c>
    </row>
  </sheetData>
  <mergeCells count="1">
    <mergeCell ref="A1:X1"/>
  </mergeCells>
  <pageMargins left="0.25" right="0.25" top="0.75" bottom="0.75" header="0.3" footer="0.3"/>
  <pageSetup scale="6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E4531-4422-422C-87C8-9FC247670E8F}">
  <sheetPr codeName="Hoja3"/>
  <dimension ref="A1:Y265"/>
  <sheetViews>
    <sheetView tabSelected="1" workbookViewId="0">
      <selection activeCell="L14" sqref="L14"/>
    </sheetView>
  </sheetViews>
  <sheetFormatPr baseColWidth="10" defaultColWidth="11.44140625" defaultRowHeight="14.4" x14ac:dyDescent="0.3"/>
  <cols>
    <col min="1" max="1" width="55.88671875" bestFit="1" customWidth="1"/>
    <col min="12" max="12" width="31.109375" bestFit="1" customWidth="1"/>
  </cols>
  <sheetData>
    <row r="1" spans="1:25" ht="23.4" thickBot="1" x14ac:dyDescent="0.35">
      <c r="A1" s="4" t="s">
        <v>12</v>
      </c>
      <c r="L1" s="24" t="s">
        <v>323</v>
      </c>
      <c r="N1" t="s">
        <v>360</v>
      </c>
      <c r="P1" t="s">
        <v>373</v>
      </c>
    </row>
    <row r="2" spans="1:25" ht="17.399999999999999" x14ac:dyDescent="0.3">
      <c r="A2" s="2" t="s">
        <v>56</v>
      </c>
      <c r="L2" s="23" t="s">
        <v>324</v>
      </c>
      <c r="N2" t="s">
        <v>365</v>
      </c>
      <c r="Y2" t="s">
        <v>14</v>
      </c>
    </row>
    <row r="3" spans="1:25" ht="17.399999999999999" x14ac:dyDescent="0.3">
      <c r="A3" s="2" t="s">
        <v>58</v>
      </c>
      <c r="C3" s="14" t="s">
        <v>16</v>
      </c>
      <c r="D3" s="14" t="s">
        <v>16</v>
      </c>
      <c r="E3" s="14" t="s">
        <v>16</v>
      </c>
      <c r="F3" s="15" t="s">
        <v>16</v>
      </c>
      <c r="L3" s="23" t="s">
        <v>326</v>
      </c>
      <c r="N3" t="s">
        <v>361</v>
      </c>
      <c r="Y3" t="s">
        <v>17</v>
      </c>
    </row>
    <row r="4" spans="1:25" ht="17.399999999999999" x14ac:dyDescent="0.3">
      <c r="A4" s="2" t="s">
        <v>60</v>
      </c>
      <c r="C4" s="78">
        <f>IF(ANÁLISIS!J8=MAX(ANÁLISIS!$J$8:$J$11),1,2)</f>
        <v>2</v>
      </c>
      <c r="D4" s="18" t="str" cm="1">
        <f t="array" ref="D4:D7">_xlfn._xlws.SORT(ANÁLISIS!J8:J11,1,-1)</f>
        <v/>
      </c>
      <c r="E4" s="13" t="str">
        <f>'DATOS '!D4</f>
        <v/>
      </c>
      <c r="F4" s="16" t="str">
        <f>IF(_xlfn.XLOOKUP('DATOS '!D4,ANÁLISIS!$J$8:$J$11,ANÁLISIS!$A$8:$A$11,"",0,)=ANÁLISIS!L7,_xlfn.XLOOKUP('DATOS '!D4,ANÁLISIS!$J$8:$J$11,ANÁLISIS!$A$8:$A$11,,0,-1),_xlfn.XLOOKUP('DATOS '!D4,ANÁLISIS!$J$8:$J$11,ANÁLISIS!$A$8:$A$11,"",0,))</f>
        <v/>
      </c>
      <c r="G4" s="17" t="str">
        <f>IF(_xlfn.XLOOKUP('DATOS '!D4,ANÁLISIS!$J$8:$J$11,ANÁLISIS!$A$8:$A$11,"",0,)=ANÁLISIS!L7,_xlfn.XLOOKUP('DATOS '!D4,ANÁLISIS!$J$8:$J$11,ANÁLISIS!$A$8:$A$11,,0,-1),_xlfn.XLOOKUP('DATOS '!D4,ANÁLISIS!$J$8:$J$11,ANÁLISIS!$A$8:$A$11,"",0,))</f>
        <v/>
      </c>
      <c r="H4" t="e">
        <f>IF(OR(MAX($G$4:$G$7)=G4,MIN($G$4:$G$7)=G4),G4,NA())</f>
        <v>#N/A</v>
      </c>
      <c r="L4" s="23" t="s">
        <v>327</v>
      </c>
      <c r="N4" t="s">
        <v>372</v>
      </c>
      <c r="Y4" t="s">
        <v>19</v>
      </c>
    </row>
    <row r="5" spans="1:25" ht="17.399999999999999" x14ac:dyDescent="0.3">
      <c r="A5" s="2" t="s">
        <v>54</v>
      </c>
      <c r="C5" s="78">
        <f>IF(ANÁLISIS!J9=MAX(ANÁLISIS!$J$8:$J$11),1,2)</f>
        <v>2</v>
      </c>
      <c r="D5" s="18" t="str">
        <v/>
      </c>
      <c r="E5" s="13" t="str">
        <f>IFERROR('DATOS '!D5+E4,"")</f>
        <v/>
      </c>
      <c r="F5" s="16" t="str">
        <f>IF(_xlfn.XLOOKUP('DATOS '!D5,ANÁLISIS!$J$8:$J$11,ANÁLISIS!$A$8:$A$11,"",0,)=F4,_xlfn.XLOOKUP('DATOS '!D5,ANÁLISIS!$J$8:$J$11,ANÁLISIS!$A$8:$A$11,,0,-1),_xlfn.XLOOKUP('DATOS '!D5,ANÁLISIS!$J$8:$J$11,ANÁLISIS!$A$8:$A$11,"",0,))</f>
        <v/>
      </c>
      <c r="G5" s="17" t="str">
        <f>IF(_xlfn.XLOOKUP('DATOS '!D5,ANÁLISIS!$J$8:$J$11,ANÁLISIS!$A$8:$A$11,"",0,)=ANÁLISIS!L8,_xlfn.XLOOKUP('DATOS '!D5,ANÁLISIS!$J$8:$J$11,ANÁLISIS!$A$8:$A$11,,0,-1),_xlfn.XLOOKUP('DATOS '!D5,ANÁLISIS!$J$8:$J$11,ANÁLISIS!$A$8:$A$11,"",0,))</f>
        <v/>
      </c>
      <c r="H5" t="e">
        <f t="shared" ref="H5:H7" si="0">IF(OR(MAX($G$4:$G$7)=G5,MIN($G$4:$G$7)=G5),G5,NA())</f>
        <v>#N/A</v>
      </c>
      <c r="L5" s="23" t="s">
        <v>328</v>
      </c>
      <c r="N5" t="s">
        <v>363</v>
      </c>
      <c r="Y5" t="s">
        <v>21</v>
      </c>
    </row>
    <row r="6" spans="1:25" ht="17.399999999999999" x14ac:dyDescent="0.3">
      <c r="A6" s="1" t="s">
        <v>15</v>
      </c>
      <c r="C6" s="78">
        <f>IF(ANÁLISIS!J10=MAX(ANÁLISIS!$J$8:$J$11),1,2)</f>
        <v>2</v>
      </c>
      <c r="D6" s="18" t="str">
        <v/>
      </c>
      <c r="E6" s="13" t="str">
        <f>IFERROR('DATOS '!D6+E5,"")</f>
        <v/>
      </c>
      <c r="F6" s="16" t="str">
        <f>IF(_xlfn.XLOOKUP('DATOS '!D6,ANÁLISIS!$J$8:$J$11,ANÁLISIS!$A$8:$A$11,"",0,)=F5,_xlfn.XLOOKUP('DATOS '!D6,ANÁLISIS!$J$8:$J$11,ANÁLISIS!$A$8:$A$11,,0,-1),_xlfn.XLOOKUP('DATOS '!D6,ANÁLISIS!$J$8:$J$11,ANÁLISIS!$A$8:$A$11,"",0,))</f>
        <v/>
      </c>
      <c r="G6" s="17" t="str">
        <f>IF(_xlfn.XLOOKUP('DATOS '!D6,ANÁLISIS!$J$8:$J$11,ANÁLISIS!$A$8:$A$11,"",0,)=ANÁLISIS!L9,_xlfn.XLOOKUP('DATOS '!D6,ANÁLISIS!$J$8:$J$11,ANÁLISIS!$A$8:$A$11,,0,-1),_xlfn.XLOOKUP('DATOS '!D6,ANÁLISIS!$J$8:$J$11,ANÁLISIS!$A$8:$A$11,"",0,))</f>
        <v/>
      </c>
      <c r="H6" t="e">
        <f t="shared" si="0"/>
        <v>#N/A</v>
      </c>
      <c r="L6" s="23" t="s">
        <v>329</v>
      </c>
      <c r="N6" t="s">
        <v>362</v>
      </c>
      <c r="Y6" t="s">
        <v>23</v>
      </c>
    </row>
    <row r="7" spans="1:25" ht="17.399999999999999" x14ac:dyDescent="0.3">
      <c r="A7" s="2" t="s">
        <v>72</v>
      </c>
      <c r="C7" s="78">
        <f>IF(ANÁLISIS!J11=MAX(ANÁLISIS!$J$8:$J$11),1,2)</f>
        <v>2</v>
      </c>
      <c r="D7" s="18" t="str">
        <v/>
      </c>
      <c r="E7" s="13" t="str">
        <f>IFERROR('DATOS '!D7+E6,"")</f>
        <v/>
      </c>
      <c r="F7" s="16" t="str">
        <f>IF(_xlfn.XLOOKUP('DATOS '!D7,ANÁLISIS!$J$8:$J$11,ANÁLISIS!$A$8:$A$11,"",0,)=F6,_xlfn.XLOOKUP('DATOS '!D7,ANÁLISIS!$J$8:$J$11,ANÁLISIS!$A$8:$A$11,,0,-1),_xlfn.XLOOKUP('DATOS '!D7,ANÁLISIS!$J$8:$J$11,ANÁLISIS!$A$8:$A$11,"",0,))</f>
        <v/>
      </c>
      <c r="G7" s="17" t="str">
        <f>IF(_xlfn.XLOOKUP('DATOS '!D7,ANÁLISIS!$J$8:$J$11,ANÁLISIS!$A$8:$A$11,"",0,)=ANÁLISIS!L10,_xlfn.XLOOKUP('DATOS '!D7,ANÁLISIS!$J$8:$J$11,ANÁLISIS!$A$8:$A$11,,0,-1),_xlfn.XLOOKUP('DATOS '!D7,ANÁLISIS!$J$8:$J$11,ANÁLISIS!$A$8:$A$11,"",0,))</f>
        <v/>
      </c>
      <c r="H7" t="e">
        <f t="shared" si="0"/>
        <v>#N/A</v>
      </c>
      <c r="L7" s="23" t="s">
        <v>325</v>
      </c>
      <c r="N7" t="s">
        <v>364</v>
      </c>
      <c r="Y7" t="s">
        <v>25</v>
      </c>
    </row>
    <row r="8" spans="1:25" ht="17.399999999999999" x14ac:dyDescent="0.3">
      <c r="A8" s="1" t="s">
        <v>18</v>
      </c>
      <c r="C8" s="14" t="s">
        <v>16</v>
      </c>
      <c r="D8" s="14" t="s">
        <v>16</v>
      </c>
      <c r="E8" s="14" t="s">
        <v>16</v>
      </c>
      <c r="F8" s="15" t="s">
        <v>16</v>
      </c>
      <c r="L8" s="23" t="s">
        <v>46</v>
      </c>
      <c r="N8" t="s">
        <v>366</v>
      </c>
      <c r="Y8" t="s">
        <v>27</v>
      </c>
    </row>
    <row r="9" spans="1:25" ht="17.399999999999999" x14ac:dyDescent="0.3">
      <c r="A9" s="2" t="s">
        <v>22</v>
      </c>
      <c r="L9" s="25" t="s">
        <v>330</v>
      </c>
      <c r="Y9" t="s">
        <v>29</v>
      </c>
    </row>
    <row r="10" spans="1:25" ht="17.399999999999999" x14ac:dyDescent="0.3">
      <c r="A10" s="2" t="s">
        <v>24</v>
      </c>
      <c r="Y10" t="s">
        <v>31</v>
      </c>
    </row>
    <row r="11" spans="1:25" ht="17.399999999999999" x14ac:dyDescent="0.3">
      <c r="A11" s="2" t="s">
        <v>26</v>
      </c>
      <c r="Y11" t="s">
        <v>33</v>
      </c>
    </row>
    <row r="12" spans="1:25" ht="17.399999999999999" x14ac:dyDescent="0.3">
      <c r="A12" s="2" t="s">
        <v>44</v>
      </c>
      <c r="Y12" t="s">
        <v>35</v>
      </c>
    </row>
    <row r="13" spans="1:25" ht="17.399999999999999" x14ac:dyDescent="0.3">
      <c r="A13" s="3" t="s">
        <v>355</v>
      </c>
      <c r="Y13" t="s">
        <v>37</v>
      </c>
    </row>
    <row r="14" spans="1:25" ht="17.399999999999999" x14ac:dyDescent="0.3">
      <c r="A14" s="3" t="s">
        <v>30</v>
      </c>
      <c r="Y14" t="s">
        <v>39</v>
      </c>
    </row>
    <row r="15" spans="1:25" ht="17.399999999999999" x14ac:dyDescent="0.3">
      <c r="A15" s="2" t="s">
        <v>32</v>
      </c>
      <c r="Y15" t="s">
        <v>41</v>
      </c>
    </row>
    <row r="16" spans="1:25" ht="17.399999999999999" x14ac:dyDescent="0.3">
      <c r="A16" s="2" t="s">
        <v>34</v>
      </c>
      <c r="Y16" t="s">
        <v>43</v>
      </c>
    </row>
    <row r="17" spans="1:25" ht="17.399999999999999" x14ac:dyDescent="0.3">
      <c r="A17" s="2" t="s">
        <v>36</v>
      </c>
      <c r="Y17" t="s">
        <v>45</v>
      </c>
    </row>
    <row r="18" spans="1:25" ht="17.399999999999999" x14ac:dyDescent="0.3">
      <c r="A18" s="1" t="s">
        <v>13</v>
      </c>
      <c r="Y18" t="s">
        <v>47</v>
      </c>
    </row>
    <row r="19" spans="1:25" ht="17.399999999999999" x14ac:dyDescent="0.3">
      <c r="A19" s="1" t="s">
        <v>38</v>
      </c>
      <c r="Y19" t="s">
        <v>49</v>
      </c>
    </row>
    <row r="20" spans="1:25" ht="17.399999999999999" x14ac:dyDescent="0.3">
      <c r="A20" s="3" t="s">
        <v>40</v>
      </c>
      <c r="Y20" t="s">
        <v>51</v>
      </c>
    </row>
    <row r="21" spans="1:25" ht="17.399999999999999" x14ac:dyDescent="0.3">
      <c r="A21" s="2" t="s">
        <v>42</v>
      </c>
      <c r="Y21" t="s">
        <v>53</v>
      </c>
    </row>
    <row r="22" spans="1:25" ht="17.399999999999999" x14ac:dyDescent="0.3">
      <c r="A22" s="2" t="s">
        <v>20</v>
      </c>
      <c r="Y22" t="s">
        <v>55</v>
      </c>
    </row>
    <row r="23" spans="1:25" ht="17.399999999999999" x14ac:dyDescent="0.3">
      <c r="A23" s="2" t="s">
        <v>356</v>
      </c>
      <c r="Y23" t="s">
        <v>57</v>
      </c>
    </row>
    <row r="24" spans="1:25" ht="17.399999999999999" x14ac:dyDescent="0.3">
      <c r="A24" s="2" t="s">
        <v>46</v>
      </c>
      <c r="Y24" t="s">
        <v>59</v>
      </c>
    </row>
    <row r="25" spans="1:25" ht="17.399999999999999" x14ac:dyDescent="0.3">
      <c r="A25" s="2" t="s">
        <v>50</v>
      </c>
      <c r="Y25" t="s">
        <v>61</v>
      </c>
    </row>
    <row r="26" spans="1:25" ht="17.399999999999999" x14ac:dyDescent="0.3">
      <c r="A26" s="2" t="s">
        <v>48</v>
      </c>
      <c r="Y26" t="s">
        <v>63</v>
      </c>
    </row>
    <row r="27" spans="1:25" ht="17.399999999999999" x14ac:dyDescent="0.3">
      <c r="A27" s="5" t="s">
        <v>74</v>
      </c>
      <c r="Y27" t="s">
        <v>65</v>
      </c>
    </row>
    <row r="28" spans="1:25" ht="17.399999999999999" x14ac:dyDescent="0.3">
      <c r="A28" s="2" t="s">
        <v>52</v>
      </c>
      <c r="Y28" t="s">
        <v>67</v>
      </c>
    </row>
    <row r="29" spans="1:25" ht="17.399999999999999" x14ac:dyDescent="0.3">
      <c r="A29" s="2" t="s">
        <v>28</v>
      </c>
      <c r="Y29" t="s">
        <v>69</v>
      </c>
    </row>
    <row r="30" spans="1:25" ht="17.399999999999999" x14ac:dyDescent="0.3">
      <c r="A30" s="2" t="s">
        <v>62</v>
      </c>
      <c r="Y30" t="s">
        <v>71</v>
      </c>
    </row>
    <row r="31" spans="1:25" ht="17.399999999999999" x14ac:dyDescent="0.3">
      <c r="A31" s="2" t="s">
        <v>64</v>
      </c>
      <c r="Y31" t="s">
        <v>73</v>
      </c>
    </row>
    <row r="32" spans="1:25" ht="17.399999999999999" x14ac:dyDescent="0.3">
      <c r="A32" s="2" t="s">
        <v>66</v>
      </c>
      <c r="Y32" t="s">
        <v>75</v>
      </c>
    </row>
    <row r="33" spans="1:25" ht="17.399999999999999" x14ac:dyDescent="0.3">
      <c r="A33" s="2" t="s">
        <v>68</v>
      </c>
      <c r="Y33" t="s">
        <v>76</v>
      </c>
    </row>
    <row r="34" spans="1:25" ht="17.399999999999999" x14ac:dyDescent="0.3">
      <c r="A34" s="2" t="s">
        <v>70</v>
      </c>
      <c r="Y34" t="s">
        <v>77</v>
      </c>
    </row>
    <row r="35" spans="1:25" x14ac:dyDescent="0.3">
      <c r="Y35" t="s">
        <v>78</v>
      </c>
    </row>
    <row r="36" spans="1:25" x14ac:dyDescent="0.3">
      <c r="Y36" t="s">
        <v>79</v>
      </c>
    </row>
    <row r="37" spans="1:25" x14ac:dyDescent="0.3">
      <c r="Y37" t="s">
        <v>80</v>
      </c>
    </row>
    <row r="38" spans="1:25" x14ac:dyDescent="0.3">
      <c r="Y38" t="s">
        <v>81</v>
      </c>
    </row>
    <row r="39" spans="1:25" x14ac:dyDescent="0.3">
      <c r="Y39" t="s">
        <v>82</v>
      </c>
    </row>
    <row r="40" spans="1:25" x14ac:dyDescent="0.3">
      <c r="Y40" t="s">
        <v>83</v>
      </c>
    </row>
    <row r="41" spans="1:25" x14ac:dyDescent="0.3">
      <c r="Y41" t="s">
        <v>84</v>
      </c>
    </row>
    <row r="42" spans="1:25" x14ac:dyDescent="0.3">
      <c r="Y42" t="s">
        <v>85</v>
      </c>
    </row>
    <row r="43" spans="1:25" x14ac:dyDescent="0.3">
      <c r="Y43" t="s">
        <v>86</v>
      </c>
    </row>
    <row r="44" spans="1:25" x14ac:dyDescent="0.3">
      <c r="Y44" t="s">
        <v>87</v>
      </c>
    </row>
    <row r="45" spans="1:25" x14ac:dyDescent="0.3">
      <c r="Y45" t="s">
        <v>88</v>
      </c>
    </row>
    <row r="46" spans="1:25" x14ac:dyDescent="0.3">
      <c r="Y46" t="s">
        <v>89</v>
      </c>
    </row>
    <row r="47" spans="1:25" x14ac:dyDescent="0.3">
      <c r="Y47" t="s">
        <v>90</v>
      </c>
    </row>
    <row r="48" spans="1:25" x14ac:dyDescent="0.3">
      <c r="Y48" t="s">
        <v>91</v>
      </c>
    </row>
    <row r="49" spans="25:25" x14ac:dyDescent="0.3">
      <c r="Y49" t="s">
        <v>92</v>
      </c>
    </row>
    <row r="50" spans="25:25" x14ac:dyDescent="0.3">
      <c r="Y50" t="s">
        <v>93</v>
      </c>
    </row>
    <row r="51" spans="25:25" x14ac:dyDescent="0.3">
      <c r="Y51" t="s">
        <v>94</v>
      </c>
    </row>
    <row r="52" spans="25:25" x14ac:dyDescent="0.3">
      <c r="Y52" t="s">
        <v>95</v>
      </c>
    </row>
    <row r="53" spans="25:25" x14ac:dyDescent="0.3">
      <c r="Y53" t="s">
        <v>96</v>
      </c>
    </row>
    <row r="54" spans="25:25" x14ac:dyDescent="0.3">
      <c r="Y54" t="s">
        <v>97</v>
      </c>
    </row>
    <row r="55" spans="25:25" x14ac:dyDescent="0.3">
      <c r="Y55" t="s">
        <v>98</v>
      </c>
    </row>
    <row r="56" spans="25:25" x14ac:dyDescent="0.3">
      <c r="Y56" t="s">
        <v>99</v>
      </c>
    </row>
    <row r="57" spans="25:25" x14ac:dyDescent="0.3">
      <c r="Y57" t="s">
        <v>100</v>
      </c>
    </row>
    <row r="58" spans="25:25" x14ac:dyDescent="0.3">
      <c r="Y58" t="s">
        <v>101</v>
      </c>
    </row>
    <row r="59" spans="25:25" x14ac:dyDescent="0.3">
      <c r="Y59" t="s">
        <v>102</v>
      </c>
    </row>
    <row r="60" spans="25:25" x14ac:dyDescent="0.3">
      <c r="Y60" t="s">
        <v>103</v>
      </c>
    </row>
    <row r="61" spans="25:25" x14ac:dyDescent="0.3">
      <c r="Y61" t="s">
        <v>104</v>
      </c>
    </row>
    <row r="62" spans="25:25" x14ac:dyDescent="0.3">
      <c r="Y62" t="s">
        <v>105</v>
      </c>
    </row>
    <row r="63" spans="25:25" x14ac:dyDescent="0.3">
      <c r="Y63" t="s">
        <v>106</v>
      </c>
    </row>
    <row r="64" spans="25:25" x14ac:dyDescent="0.3">
      <c r="Y64" t="s">
        <v>107</v>
      </c>
    </row>
    <row r="65" spans="25:25" x14ac:dyDescent="0.3">
      <c r="Y65" t="s">
        <v>108</v>
      </c>
    </row>
    <row r="66" spans="25:25" x14ac:dyDescent="0.3">
      <c r="Y66" t="s">
        <v>109</v>
      </c>
    </row>
    <row r="67" spans="25:25" x14ac:dyDescent="0.3">
      <c r="Y67" t="s">
        <v>110</v>
      </c>
    </row>
    <row r="68" spans="25:25" x14ac:dyDescent="0.3">
      <c r="Y68" t="s">
        <v>111</v>
      </c>
    </row>
    <row r="69" spans="25:25" x14ac:dyDescent="0.3">
      <c r="Y69" t="s">
        <v>112</v>
      </c>
    </row>
    <row r="70" spans="25:25" x14ac:dyDescent="0.3">
      <c r="Y70" t="s">
        <v>113</v>
      </c>
    </row>
    <row r="71" spans="25:25" x14ac:dyDescent="0.3">
      <c r="Y71" t="s">
        <v>114</v>
      </c>
    </row>
    <row r="72" spans="25:25" x14ac:dyDescent="0.3">
      <c r="Y72" t="s">
        <v>115</v>
      </c>
    </row>
    <row r="73" spans="25:25" x14ac:dyDescent="0.3">
      <c r="Y73" t="s">
        <v>116</v>
      </c>
    </row>
    <row r="74" spans="25:25" x14ac:dyDescent="0.3">
      <c r="Y74" t="s">
        <v>117</v>
      </c>
    </row>
    <row r="75" spans="25:25" x14ac:dyDescent="0.3">
      <c r="Y75" t="s">
        <v>118</v>
      </c>
    </row>
    <row r="76" spans="25:25" x14ac:dyDescent="0.3">
      <c r="Y76" t="s">
        <v>119</v>
      </c>
    </row>
    <row r="77" spans="25:25" x14ac:dyDescent="0.3">
      <c r="Y77" t="s">
        <v>120</v>
      </c>
    </row>
    <row r="78" spans="25:25" x14ac:dyDescent="0.3">
      <c r="Y78" t="s">
        <v>121</v>
      </c>
    </row>
    <row r="79" spans="25:25" x14ac:dyDescent="0.3">
      <c r="Y79" t="s">
        <v>122</v>
      </c>
    </row>
    <row r="80" spans="25:25" x14ac:dyDescent="0.3">
      <c r="Y80" t="s">
        <v>123</v>
      </c>
    </row>
    <row r="81" spans="25:25" x14ac:dyDescent="0.3">
      <c r="Y81" t="s">
        <v>124</v>
      </c>
    </row>
    <row r="82" spans="25:25" x14ac:dyDescent="0.3">
      <c r="Y82" t="s">
        <v>125</v>
      </c>
    </row>
    <row r="83" spans="25:25" x14ac:dyDescent="0.3">
      <c r="Y83" t="s">
        <v>126</v>
      </c>
    </row>
    <row r="84" spans="25:25" x14ac:dyDescent="0.3">
      <c r="Y84" t="s">
        <v>127</v>
      </c>
    </row>
    <row r="85" spans="25:25" x14ac:dyDescent="0.3">
      <c r="Y85" t="s">
        <v>128</v>
      </c>
    </row>
    <row r="86" spans="25:25" x14ac:dyDescent="0.3">
      <c r="Y86" t="s">
        <v>129</v>
      </c>
    </row>
    <row r="87" spans="25:25" x14ac:dyDescent="0.3">
      <c r="Y87" t="s">
        <v>130</v>
      </c>
    </row>
    <row r="88" spans="25:25" x14ac:dyDescent="0.3">
      <c r="Y88" t="s">
        <v>131</v>
      </c>
    </row>
    <row r="89" spans="25:25" x14ac:dyDescent="0.3">
      <c r="Y89" t="s">
        <v>132</v>
      </c>
    </row>
    <row r="90" spans="25:25" x14ac:dyDescent="0.3">
      <c r="Y90" t="s">
        <v>133</v>
      </c>
    </row>
    <row r="91" spans="25:25" x14ac:dyDescent="0.3">
      <c r="Y91" t="s">
        <v>134</v>
      </c>
    </row>
    <row r="92" spans="25:25" x14ac:dyDescent="0.3">
      <c r="Y92" t="s">
        <v>135</v>
      </c>
    </row>
    <row r="93" spans="25:25" x14ac:dyDescent="0.3">
      <c r="Y93" t="s">
        <v>136</v>
      </c>
    </row>
    <row r="94" spans="25:25" x14ac:dyDescent="0.3">
      <c r="Y94" t="s">
        <v>137</v>
      </c>
    </row>
    <row r="95" spans="25:25" x14ac:dyDescent="0.3">
      <c r="Y95" t="s">
        <v>138</v>
      </c>
    </row>
    <row r="96" spans="25:25" x14ac:dyDescent="0.3">
      <c r="Y96" t="s">
        <v>139</v>
      </c>
    </row>
    <row r="97" spans="25:25" x14ac:dyDescent="0.3">
      <c r="Y97" t="s">
        <v>140</v>
      </c>
    </row>
    <row r="98" spans="25:25" x14ac:dyDescent="0.3">
      <c r="Y98" t="s">
        <v>141</v>
      </c>
    </row>
    <row r="99" spans="25:25" x14ac:dyDescent="0.3">
      <c r="Y99" t="s">
        <v>142</v>
      </c>
    </row>
    <row r="100" spans="25:25" x14ac:dyDescent="0.3">
      <c r="Y100" t="s">
        <v>143</v>
      </c>
    </row>
    <row r="101" spans="25:25" x14ac:dyDescent="0.3">
      <c r="Y101" t="s">
        <v>144</v>
      </c>
    </row>
    <row r="102" spans="25:25" x14ac:dyDescent="0.3">
      <c r="Y102" t="s">
        <v>145</v>
      </c>
    </row>
    <row r="103" spans="25:25" x14ac:dyDescent="0.3">
      <c r="Y103" t="s">
        <v>146</v>
      </c>
    </row>
    <row r="104" spans="25:25" x14ac:dyDescent="0.3">
      <c r="Y104" t="s">
        <v>147</v>
      </c>
    </row>
    <row r="105" spans="25:25" x14ac:dyDescent="0.3">
      <c r="Y105" t="s">
        <v>148</v>
      </c>
    </row>
    <row r="106" spans="25:25" x14ac:dyDescent="0.3">
      <c r="Y106" t="s">
        <v>149</v>
      </c>
    </row>
    <row r="107" spans="25:25" x14ac:dyDescent="0.3">
      <c r="Y107" t="s">
        <v>150</v>
      </c>
    </row>
    <row r="108" spans="25:25" x14ac:dyDescent="0.3">
      <c r="Y108" t="s">
        <v>151</v>
      </c>
    </row>
    <row r="109" spans="25:25" x14ac:dyDescent="0.3">
      <c r="Y109" t="s">
        <v>152</v>
      </c>
    </row>
    <row r="110" spans="25:25" x14ac:dyDescent="0.3">
      <c r="Y110" t="s">
        <v>153</v>
      </c>
    </row>
    <row r="111" spans="25:25" x14ac:dyDescent="0.3">
      <c r="Y111" t="s">
        <v>154</v>
      </c>
    </row>
    <row r="112" spans="25:25" x14ac:dyDescent="0.3">
      <c r="Y112" t="s">
        <v>155</v>
      </c>
    </row>
    <row r="113" spans="25:25" x14ac:dyDescent="0.3">
      <c r="Y113" t="s">
        <v>156</v>
      </c>
    </row>
    <row r="114" spans="25:25" x14ac:dyDescent="0.3">
      <c r="Y114" t="s">
        <v>157</v>
      </c>
    </row>
    <row r="115" spans="25:25" x14ac:dyDescent="0.3">
      <c r="Y115" t="s">
        <v>158</v>
      </c>
    </row>
    <row r="116" spans="25:25" x14ac:dyDescent="0.3">
      <c r="Y116" t="s">
        <v>159</v>
      </c>
    </row>
    <row r="117" spans="25:25" x14ac:dyDescent="0.3">
      <c r="Y117" t="s">
        <v>160</v>
      </c>
    </row>
    <row r="118" spans="25:25" x14ac:dyDescent="0.3">
      <c r="Y118" t="s">
        <v>161</v>
      </c>
    </row>
    <row r="119" spans="25:25" x14ac:dyDescent="0.3">
      <c r="Y119" t="s">
        <v>162</v>
      </c>
    </row>
    <row r="120" spans="25:25" x14ac:dyDescent="0.3">
      <c r="Y120" t="s">
        <v>163</v>
      </c>
    </row>
    <row r="121" spans="25:25" x14ac:dyDescent="0.3">
      <c r="Y121" t="s">
        <v>164</v>
      </c>
    </row>
    <row r="122" spans="25:25" x14ac:dyDescent="0.3">
      <c r="Y122" t="s">
        <v>165</v>
      </c>
    </row>
    <row r="123" spans="25:25" x14ac:dyDescent="0.3">
      <c r="Y123" t="s">
        <v>166</v>
      </c>
    </row>
    <row r="124" spans="25:25" x14ac:dyDescent="0.3">
      <c r="Y124" t="s">
        <v>167</v>
      </c>
    </row>
    <row r="125" spans="25:25" x14ac:dyDescent="0.3">
      <c r="Y125" t="s">
        <v>168</v>
      </c>
    </row>
    <row r="126" spans="25:25" x14ac:dyDescent="0.3">
      <c r="Y126" t="s">
        <v>169</v>
      </c>
    </row>
    <row r="127" spans="25:25" x14ac:dyDescent="0.3">
      <c r="Y127" t="s">
        <v>170</v>
      </c>
    </row>
    <row r="128" spans="25:25" x14ac:dyDescent="0.3">
      <c r="Y128" t="s">
        <v>171</v>
      </c>
    </row>
    <row r="129" spans="25:25" x14ac:dyDescent="0.3">
      <c r="Y129" t="s">
        <v>172</v>
      </c>
    </row>
    <row r="130" spans="25:25" x14ac:dyDescent="0.3">
      <c r="Y130" t="s">
        <v>173</v>
      </c>
    </row>
    <row r="131" spans="25:25" x14ac:dyDescent="0.3">
      <c r="Y131" t="s">
        <v>174</v>
      </c>
    </row>
    <row r="132" spans="25:25" x14ac:dyDescent="0.3">
      <c r="Y132" t="s">
        <v>175</v>
      </c>
    </row>
    <row r="133" spans="25:25" x14ac:dyDescent="0.3">
      <c r="Y133" t="s">
        <v>176</v>
      </c>
    </row>
    <row r="134" spans="25:25" x14ac:dyDescent="0.3">
      <c r="Y134" t="s">
        <v>177</v>
      </c>
    </row>
    <row r="135" spans="25:25" x14ac:dyDescent="0.3">
      <c r="Y135" t="s">
        <v>178</v>
      </c>
    </row>
    <row r="136" spans="25:25" x14ac:dyDescent="0.3">
      <c r="Y136" t="s">
        <v>179</v>
      </c>
    </row>
    <row r="137" spans="25:25" x14ac:dyDescent="0.3">
      <c r="Y137" t="s">
        <v>180</v>
      </c>
    </row>
    <row r="138" spans="25:25" x14ac:dyDescent="0.3">
      <c r="Y138" t="s">
        <v>181</v>
      </c>
    </row>
    <row r="139" spans="25:25" x14ac:dyDescent="0.3">
      <c r="Y139" t="s">
        <v>182</v>
      </c>
    </row>
    <row r="140" spans="25:25" x14ac:dyDescent="0.3">
      <c r="Y140" t="s">
        <v>183</v>
      </c>
    </row>
    <row r="141" spans="25:25" x14ac:dyDescent="0.3">
      <c r="Y141" t="s">
        <v>184</v>
      </c>
    </row>
    <row r="142" spans="25:25" x14ac:dyDescent="0.3">
      <c r="Y142" t="s">
        <v>185</v>
      </c>
    </row>
    <row r="143" spans="25:25" x14ac:dyDescent="0.3">
      <c r="Y143" t="s">
        <v>186</v>
      </c>
    </row>
    <row r="144" spans="25:25" x14ac:dyDescent="0.3">
      <c r="Y144" t="s">
        <v>187</v>
      </c>
    </row>
    <row r="145" spans="25:25" x14ac:dyDescent="0.3">
      <c r="Y145" t="s">
        <v>188</v>
      </c>
    </row>
    <row r="146" spans="25:25" x14ac:dyDescent="0.3">
      <c r="Y146" t="s">
        <v>189</v>
      </c>
    </row>
    <row r="147" spans="25:25" x14ac:dyDescent="0.3">
      <c r="Y147" t="s">
        <v>190</v>
      </c>
    </row>
    <row r="148" spans="25:25" x14ac:dyDescent="0.3">
      <c r="Y148" t="s">
        <v>191</v>
      </c>
    </row>
    <row r="149" spans="25:25" x14ac:dyDescent="0.3">
      <c r="Y149" t="s">
        <v>192</v>
      </c>
    </row>
    <row r="150" spans="25:25" x14ac:dyDescent="0.3">
      <c r="Y150" t="s">
        <v>193</v>
      </c>
    </row>
    <row r="151" spans="25:25" x14ac:dyDescent="0.3">
      <c r="Y151" t="s">
        <v>194</v>
      </c>
    </row>
    <row r="152" spans="25:25" x14ac:dyDescent="0.3">
      <c r="Y152" t="s">
        <v>195</v>
      </c>
    </row>
    <row r="153" spans="25:25" x14ac:dyDescent="0.3">
      <c r="Y153" t="s">
        <v>196</v>
      </c>
    </row>
    <row r="154" spans="25:25" x14ac:dyDescent="0.3">
      <c r="Y154" t="s">
        <v>197</v>
      </c>
    </row>
    <row r="155" spans="25:25" x14ac:dyDescent="0.3">
      <c r="Y155" t="s">
        <v>198</v>
      </c>
    </row>
    <row r="156" spans="25:25" x14ac:dyDescent="0.3">
      <c r="Y156" t="s">
        <v>199</v>
      </c>
    </row>
    <row r="157" spans="25:25" x14ac:dyDescent="0.3">
      <c r="Y157" t="s">
        <v>200</v>
      </c>
    </row>
    <row r="158" spans="25:25" x14ac:dyDescent="0.3">
      <c r="Y158" t="s">
        <v>201</v>
      </c>
    </row>
    <row r="159" spans="25:25" x14ac:dyDescent="0.3">
      <c r="Y159" t="s">
        <v>202</v>
      </c>
    </row>
    <row r="160" spans="25:25" x14ac:dyDescent="0.3">
      <c r="Y160" t="s">
        <v>203</v>
      </c>
    </row>
    <row r="161" spans="25:25" x14ac:dyDescent="0.3">
      <c r="Y161" t="s">
        <v>204</v>
      </c>
    </row>
    <row r="162" spans="25:25" x14ac:dyDescent="0.3">
      <c r="Y162" t="s">
        <v>205</v>
      </c>
    </row>
    <row r="163" spans="25:25" x14ac:dyDescent="0.3">
      <c r="Y163" t="s">
        <v>206</v>
      </c>
    </row>
    <row r="164" spans="25:25" x14ac:dyDescent="0.3">
      <c r="Y164" t="s">
        <v>207</v>
      </c>
    </row>
    <row r="165" spans="25:25" x14ac:dyDescent="0.3">
      <c r="Y165" t="s">
        <v>208</v>
      </c>
    </row>
    <row r="166" spans="25:25" x14ac:dyDescent="0.3">
      <c r="Y166" t="s">
        <v>209</v>
      </c>
    </row>
    <row r="167" spans="25:25" x14ac:dyDescent="0.3">
      <c r="Y167" t="s">
        <v>210</v>
      </c>
    </row>
    <row r="168" spans="25:25" x14ac:dyDescent="0.3">
      <c r="Y168" t="s">
        <v>211</v>
      </c>
    </row>
    <row r="169" spans="25:25" x14ac:dyDescent="0.3">
      <c r="Y169" t="s">
        <v>212</v>
      </c>
    </row>
    <row r="170" spans="25:25" x14ac:dyDescent="0.3">
      <c r="Y170" t="s">
        <v>213</v>
      </c>
    </row>
    <row r="171" spans="25:25" x14ac:dyDescent="0.3">
      <c r="Y171" t="s">
        <v>214</v>
      </c>
    </row>
    <row r="172" spans="25:25" x14ac:dyDescent="0.3">
      <c r="Y172" t="s">
        <v>215</v>
      </c>
    </row>
    <row r="173" spans="25:25" x14ac:dyDescent="0.3">
      <c r="Y173" t="s">
        <v>216</v>
      </c>
    </row>
    <row r="174" spans="25:25" x14ac:dyDescent="0.3">
      <c r="Y174" t="s">
        <v>217</v>
      </c>
    </row>
    <row r="175" spans="25:25" x14ac:dyDescent="0.3">
      <c r="Y175" t="s">
        <v>218</v>
      </c>
    </row>
    <row r="176" spans="25:25" x14ac:dyDescent="0.3">
      <c r="Y176" t="s">
        <v>219</v>
      </c>
    </row>
    <row r="177" spans="25:25" x14ac:dyDescent="0.3">
      <c r="Y177" t="s">
        <v>220</v>
      </c>
    </row>
    <row r="178" spans="25:25" x14ac:dyDescent="0.3">
      <c r="Y178" t="s">
        <v>221</v>
      </c>
    </row>
    <row r="179" spans="25:25" x14ac:dyDescent="0.3">
      <c r="Y179" t="s">
        <v>222</v>
      </c>
    </row>
    <row r="180" spans="25:25" x14ac:dyDescent="0.3">
      <c r="Y180" t="s">
        <v>223</v>
      </c>
    </row>
    <row r="181" spans="25:25" x14ac:dyDescent="0.3">
      <c r="Y181" t="s">
        <v>224</v>
      </c>
    </row>
    <row r="182" spans="25:25" x14ac:dyDescent="0.3">
      <c r="Y182" t="s">
        <v>225</v>
      </c>
    </row>
    <row r="183" spans="25:25" x14ac:dyDescent="0.3">
      <c r="Y183" t="s">
        <v>226</v>
      </c>
    </row>
    <row r="184" spans="25:25" x14ac:dyDescent="0.3">
      <c r="Y184" t="s">
        <v>227</v>
      </c>
    </row>
    <row r="185" spans="25:25" x14ac:dyDescent="0.3">
      <c r="Y185" t="s">
        <v>228</v>
      </c>
    </row>
    <row r="186" spans="25:25" x14ac:dyDescent="0.3">
      <c r="Y186" t="s">
        <v>229</v>
      </c>
    </row>
    <row r="187" spans="25:25" x14ac:dyDescent="0.3">
      <c r="Y187" t="s">
        <v>230</v>
      </c>
    </row>
    <row r="188" spans="25:25" x14ac:dyDescent="0.3">
      <c r="Y188" t="s">
        <v>231</v>
      </c>
    </row>
    <row r="189" spans="25:25" x14ac:dyDescent="0.3">
      <c r="Y189" t="s">
        <v>232</v>
      </c>
    </row>
    <row r="190" spans="25:25" x14ac:dyDescent="0.3">
      <c r="Y190" t="s">
        <v>233</v>
      </c>
    </row>
    <row r="191" spans="25:25" x14ac:dyDescent="0.3">
      <c r="Y191" t="s">
        <v>234</v>
      </c>
    </row>
    <row r="192" spans="25:25" x14ac:dyDescent="0.3">
      <c r="Y192" t="s">
        <v>235</v>
      </c>
    </row>
    <row r="193" spans="25:25" x14ac:dyDescent="0.3">
      <c r="Y193" t="s">
        <v>236</v>
      </c>
    </row>
    <row r="194" spans="25:25" x14ac:dyDescent="0.3">
      <c r="Y194" t="s">
        <v>237</v>
      </c>
    </row>
    <row r="195" spans="25:25" x14ac:dyDescent="0.3">
      <c r="Y195" t="s">
        <v>238</v>
      </c>
    </row>
    <row r="196" spans="25:25" x14ac:dyDescent="0.3">
      <c r="Y196" t="s">
        <v>239</v>
      </c>
    </row>
    <row r="197" spans="25:25" x14ac:dyDescent="0.3">
      <c r="Y197" t="s">
        <v>240</v>
      </c>
    </row>
    <row r="198" spans="25:25" x14ac:dyDescent="0.3">
      <c r="Y198" t="s">
        <v>241</v>
      </c>
    </row>
    <row r="199" spans="25:25" x14ac:dyDescent="0.3">
      <c r="Y199" t="s">
        <v>242</v>
      </c>
    </row>
    <row r="200" spans="25:25" x14ac:dyDescent="0.3">
      <c r="Y200" t="s">
        <v>243</v>
      </c>
    </row>
    <row r="201" spans="25:25" x14ac:dyDescent="0.3">
      <c r="Y201" t="s">
        <v>244</v>
      </c>
    </row>
    <row r="202" spans="25:25" x14ac:dyDescent="0.3">
      <c r="Y202" t="s">
        <v>245</v>
      </c>
    </row>
    <row r="203" spans="25:25" x14ac:dyDescent="0.3">
      <c r="Y203" t="s">
        <v>246</v>
      </c>
    </row>
    <row r="204" spans="25:25" x14ac:dyDescent="0.3">
      <c r="Y204" t="s">
        <v>247</v>
      </c>
    </row>
    <row r="205" spans="25:25" x14ac:dyDescent="0.3">
      <c r="Y205" t="s">
        <v>248</v>
      </c>
    </row>
    <row r="206" spans="25:25" x14ac:dyDescent="0.3">
      <c r="Y206" t="s">
        <v>249</v>
      </c>
    </row>
    <row r="207" spans="25:25" x14ac:dyDescent="0.3">
      <c r="Y207" t="s">
        <v>250</v>
      </c>
    </row>
    <row r="208" spans="25:25" x14ac:dyDescent="0.3">
      <c r="Y208" t="s">
        <v>251</v>
      </c>
    </row>
    <row r="209" spans="25:25" x14ac:dyDescent="0.3">
      <c r="Y209" t="s">
        <v>252</v>
      </c>
    </row>
    <row r="210" spans="25:25" x14ac:dyDescent="0.3">
      <c r="Y210" t="s">
        <v>253</v>
      </c>
    </row>
    <row r="211" spans="25:25" x14ac:dyDescent="0.3">
      <c r="Y211" t="s">
        <v>254</v>
      </c>
    </row>
    <row r="212" spans="25:25" x14ac:dyDescent="0.3">
      <c r="Y212" t="s">
        <v>255</v>
      </c>
    </row>
    <row r="213" spans="25:25" x14ac:dyDescent="0.3">
      <c r="Y213" t="s">
        <v>256</v>
      </c>
    </row>
    <row r="214" spans="25:25" x14ac:dyDescent="0.3">
      <c r="Y214" t="s">
        <v>257</v>
      </c>
    </row>
    <row r="215" spans="25:25" x14ac:dyDescent="0.3">
      <c r="Y215" t="s">
        <v>258</v>
      </c>
    </row>
    <row r="216" spans="25:25" x14ac:dyDescent="0.3">
      <c r="Y216" t="s">
        <v>259</v>
      </c>
    </row>
    <row r="217" spans="25:25" x14ac:dyDescent="0.3">
      <c r="Y217" t="s">
        <v>260</v>
      </c>
    </row>
    <row r="218" spans="25:25" x14ac:dyDescent="0.3">
      <c r="Y218" t="s">
        <v>261</v>
      </c>
    </row>
    <row r="219" spans="25:25" x14ac:dyDescent="0.3">
      <c r="Y219" t="s">
        <v>262</v>
      </c>
    </row>
    <row r="220" spans="25:25" x14ac:dyDescent="0.3">
      <c r="Y220" t="s">
        <v>263</v>
      </c>
    </row>
    <row r="221" spans="25:25" x14ac:dyDescent="0.3">
      <c r="Y221" t="s">
        <v>264</v>
      </c>
    </row>
    <row r="222" spans="25:25" x14ac:dyDescent="0.3">
      <c r="Y222" t="s">
        <v>265</v>
      </c>
    </row>
    <row r="223" spans="25:25" x14ac:dyDescent="0.3">
      <c r="Y223" t="s">
        <v>266</v>
      </c>
    </row>
    <row r="224" spans="25:25" x14ac:dyDescent="0.3">
      <c r="Y224" t="s">
        <v>267</v>
      </c>
    </row>
    <row r="225" spans="25:25" x14ac:dyDescent="0.3">
      <c r="Y225" t="s">
        <v>268</v>
      </c>
    </row>
    <row r="226" spans="25:25" x14ac:dyDescent="0.3">
      <c r="Y226" t="s">
        <v>269</v>
      </c>
    </row>
    <row r="227" spans="25:25" x14ac:dyDescent="0.3">
      <c r="Y227" t="s">
        <v>270</v>
      </c>
    </row>
    <row r="228" spans="25:25" x14ac:dyDescent="0.3">
      <c r="Y228" t="s">
        <v>271</v>
      </c>
    </row>
    <row r="229" spans="25:25" x14ac:dyDescent="0.3">
      <c r="Y229" t="s">
        <v>272</v>
      </c>
    </row>
    <row r="230" spans="25:25" x14ac:dyDescent="0.3">
      <c r="Y230" t="s">
        <v>273</v>
      </c>
    </row>
    <row r="231" spans="25:25" x14ac:dyDescent="0.3">
      <c r="Y231" t="s">
        <v>274</v>
      </c>
    </row>
    <row r="232" spans="25:25" x14ac:dyDescent="0.3">
      <c r="Y232" t="s">
        <v>275</v>
      </c>
    </row>
    <row r="233" spans="25:25" x14ac:dyDescent="0.3">
      <c r="Y233" t="s">
        <v>276</v>
      </c>
    </row>
    <row r="234" spans="25:25" x14ac:dyDescent="0.3">
      <c r="Y234" t="s">
        <v>277</v>
      </c>
    </row>
    <row r="235" spans="25:25" x14ac:dyDescent="0.3">
      <c r="Y235" t="s">
        <v>278</v>
      </c>
    </row>
    <row r="236" spans="25:25" x14ac:dyDescent="0.3">
      <c r="Y236" t="s">
        <v>279</v>
      </c>
    </row>
    <row r="237" spans="25:25" x14ac:dyDescent="0.3">
      <c r="Y237" t="s">
        <v>280</v>
      </c>
    </row>
    <row r="238" spans="25:25" x14ac:dyDescent="0.3">
      <c r="Y238" t="s">
        <v>281</v>
      </c>
    </row>
    <row r="239" spans="25:25" x14ac:dyDescent="0.3">
      <c r="Y239" t="s">
        <v>282</v>
      </c>
    </row>
    <row r="240" spans="25:25" x14ac:dyDescent="0.3">
      <c r="Y240" t="s">
        <v>283</v>
      </c>
    </row>
    <row r="241" spans="25:25" x14ac:dyDescent="0.3">
      <c r="Y241" t="s">
        <v>284</v>
      </c>
    </row>
    <row r="242" spans="25:25" x14ac:dyDescent="0.3">
      <c r="Y242" t="s">
        <v>285</v>
      </c>
    </row>
    <row r="243" spans="25:25" x14ac:dyDescent="0.3">
      <c r="Y243" t="s">
        <v>286</v>
      </c>
    </row>
    <row r="244" spans="25:25" x14ac:dyDescent="0.3">
      <c r="Y244" t="s">
        <v>287</v>
      </c>
    </row>
    <row r="245" spans="25:25" x14ac:dyDescent="0.3">
      <c r="Y245" t="s">
        <v>288</v>
      </c>
    </row>
    <row r="246" spans="25:25" x14ac:dyDescent="0.3">
      <c r="Y246" t="s">
        <v>289</v>
      </c>
    </row>
    <row r="247" spans="25:25" x14ac:dyDescent="0.3">
      <c r="Y247" t="s">
        <v>290</v>
      </c>
    </row>
    <row r="248" spans="25:25" x14ac:dyDescent="0.3">
      <c r="Y248" t="s">
        <v>291</v>
      </c>
    </row>
    <row r="249" spans="25:25" x14ac:dyDescent="0.3">
      <c r="Y249" t="s">
        <v>292</v>
      </c>
    </row>
    <row r="250" spans="25:25" x14ac:dyDescent="0.3">
      <c r="Y250" t="s">
        <v>293</v>
      </c>
    </row>
    <row r="251" spans="25:25" x14ac:dyDescent="0.3">
      <c r="Y251" t="s">
        <v>294</v>
      </c>
    </row>
    <row r="252" spans="25:25" x14ac:dyDescent="0.3">
      <c r="Y252" t="s">
        <v>295</v>
      </c>
    </row>
    <row r="253" spans="25:25" x14ac:dyDescent="0.3">
      <c r="Y253" t="s">
        <v>296</v>
      </c>
    </row>
    <row r="254" spans="25:25" x14ac:dyDescent="0.3">
      <c r="Y254" t="s">
        <v>297</v>
      </c>
    </row>
    <row r="255" spans="25:25" x14ac:dyDescent="0.3">
      <c r="Y255" t="s">
        <v>298</v>
      </c>
    </row>
    <row r="256" spans="25:25" x14ac:dyDescent="0.3">
      <c r="Y256" t="s">
        <v>299</v>
      </c>
    </row>
    <row r="257" spans="25:25" x14ac:dyDescent="0.3">
      <c r="Y257" t="s">
        <v>300</v>
      </c>
    </row>
    <row r="258" spans="25:25" x14ac:dyDescent="0.3">
      <c r="Y258" t="s">
        <v>301</v>
      </c>
    </row>
    <row r="259" spans="25:25" x14ac:dyDescent="0.3">
      <c r="Y259" t="s">
        <v>302</v>
      </c>
    </row>
    <row r="260" spans="25:25" x14ac:dyDescent="0.3">
      <c r="Y260" t="s">
        <v>303</v>
      </c>
    </row>
    <row r="261" spans="25:25" x14ac:dyDescent="0.3">
      <c r="Y261" t="s">
        <v>304</v>
      </c>
    </row>
    <row r="262" spans="25:25" x14ac:dyDescent="0.3">
      <c r="Y262" t="s">
        <v>305</v>
      </c>
    </row>
    <row r="263" spans="25:25" x14ac:dyDescent="0.3">
      <c r="Y263" t="s">
        <v>306</v>
      </c>
    </row>
    <row r="264" spans="25:25" x14ac:dyDescent="0.3">
      <c r="Y264" t="s">
        <v>307</v>
      </c>
    </row>
    <row r="265" spans="25:25" x14ac:dyDescent="0.3">
      <c r="Y265" t="s">
        <v>308</v>
      </c>
    </row>
  </sheetData>
  <conditionalFormatting sqref="A1">
    <cfRule type="cellIs" dxfId="2" priority="2" operator="equal">
      <formula>"Área"</formula>
    </cfRule>
  </conditionalFormatting>
  <conditionalFormatting sqref="L1">
    <cfRule type="cellIs" dxfId="1" priority="1" operator="equal">
      <formula>"Área"</formula>
    </cfRule>
  </conditionalFormatting>
  <pageMargins left="0.7" right="0.7" top="0.75" bottom="0.75" header="0.3" footer="0.3"/>
  <pageSetup orientation="portrait" horizontalDpi="1200" verticalDpi="1200" r:id="rId1"/>
  <drawing r:id="rId2"/>
  <tableParts count="3"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818A-50F9-47A8-9CFF-03965A7C6BD9}">
  <sheetPr codeName="Hoja5">
    <pageSetUpPr fitToPage="1"/>
  </sheetPr>
  <dimension ref="A1:M24"/>
  <sheetViews>
    <sheetView showGridLines="0" showRowColHeaders="0" showRuler="0" zoomScale="50" zoomScaleNormal="50" zoomScalePageLayoutView="70" workbookViewId="0">
      <selection activeCell="C5" sqref="C5:J11"/>
    </sheetView>
  </sheetViews>
  <sheetFormatPr baseColWidth="10" defaultColWidth="0" defaultRowHeight="30" customHeight="1" zeroHeight="1" x14ac:dyDescent="0.3"/>
  <cols>
    <col min="1" max="1" width="30.33203125" style="6" customWidth="1"/>
    <col min="2" max="2" width="52.6640625" style="6" customWidth="1"/>
    <col min="3" max="4" width="20.6640625" style="6" customWidth="1"/>
    <col min="5" max="10" width="20.6640625" style="7" customWidth="1"/>
    <col min="11" max="11" width="3" style="6" hidden="1" customWidth="1"/>
    <col min="12" max="13" width="8.88671875" style="6" customWidth="1"/>
    <col min="14" max="16384" width="8.88671875" style="6" hidden="1"/>
  </cols>
  <sheetData>
    <row r="1" spans="2:11" ht="87.75" customHeight="1" x14ac:dyDescent="0.3"/>
    <row r="2" spans="2:11" ht="48.6" customHeight="1" x14ac:dyDescent="0.3">
      <c r="B2" s="19" t="str">
        <f>IF(ACTIVIDADES!$C$2="","",ACTIVIDADES!$C$2)</f>
        <v/>
      </c>
      <c r="C2" s="8"/>
      <c r="D2" s="9"/>
      <c r="E2" s="9"/>
      <c r="F2" s="9"/>
      <c r="G2" s="11"/>
      <c r="H2" s="21" t="s">
        <v>5</v>
      </c>
      <c r="I2" s="22" t="str">
        <f>IFERROR("AC#"&amp;REGISTRO!#REF! &amp;"/" &amp;RIGHT(YEAR(REGISTRO!#REF!),2),"")</f>
        <v/>
      </c>
      <c r="J2" s="20"/>
      <c r="K2" s="10"/>
    </row>
    <row r="3" spans="2:11" ht="30" customHeight="1" x14ac:dyDescent="0.3"/>
    <row r="4" spans="2:11" ht="30" customHeight="1" x14ac:dyDescent="0.6">
      <c r="B4" s="169" t="s">
        <v>319</v>
      </c>
      <c r="C4" s="169"/>
      <c r="D4" s="169"/>
      <c r="E4" s="169"/>
      <c r="F4" s="169"/>
      <c r="G4" s="169"/>
      <c r="H4" s="169"/>
      <c r="I4" s="169"/>
      <c r="J4" s="169"/>
    </row>
    <row r="5" spans="2:11" ht="30" customHeight="1" x14ac:dyDescent="0.3">
      <c r="B5" s="170" t="s">
        <v>313</v>
      </c>
      <c r="C5" s="171"/>
      <c r="D5" s="172"/>
      <c r="E5" s="172"/>
      <c r="F5" s="172"/>
      <c r="G5" s="172"/>
      <c r="H5" s="172"/>
      <c r="I5" s="172"/>
      <c r="J5" s="173"/>
    </row>
    <row r="6" spans="2:11" ht="30" customHeight="1" x14ac:dyDescent="0.3">
      <c r="B6" s="170"/>
      <c r="C6" s="174"/>
      <c r="D6" s="175"/>
      <c r="E6" s="175"/>
      <c r="F6" s="175"/>
      <c r="G6" s="175"/>
      <c r="H6" s="175"/>
      <c r="I6" s="175"/>
      <c r="J6" s="176"/>
    </row>
    <row r="7" spans="2:11" ht="30" customHeight="1" x14ac:dyDescent="0.3">
      <c r="B7" s="170"/>
      <c r="C7" s="174"/>
      <c r="D7" s="175"/>
      <c r="E7" s="175"/>
      <c r="F7" s="175"/>
      <c r="G7" s="175"/>
      <c r="H7" s="175"/>
      <c r="I7" s="175"/>
      <c r="J7" s="176"/>
    </row>
    <row r="8" spans="2:11" ht="30" customHeight="1" x14ac:dyDescent="0.3">
      <c r="B8" s="170"/>
      <c r="C8" s="174"/>
      <c r="D8" s="175"/>
      <c r="E8" s="175"/>
      <c r="F8" s="175"/>
      <c r="G8" s="175"/>
      <c r="H8" s="175"/>
      <c r="I8" s="175"/>
      <c r="J8" s="176"/>
    </row>
    <row r="9" spans="2:11" ht="30" customHeight="1" x14ac:dyDescent="0.3">
      <c r="B9" s="170"/>
      <c r="C9" s="174"/>
      <c r="D9" s="175"/>
      <c r="E9" s="175"/>
      <c r="F9" s="175"/>
      <c r="G9" s="175"/>
      <c r="H9" s="175"/>
      <c r="I9" s="175"/>
      <c r="J9" s="176"/>
    </row>
    <row r="10" spans="2:11" ht="30" customHeight="1" x14ac:dyDescent="0.3">
      <c r="B10" s="170"/>
      <c r="C10" s="174"/>
      <c r="D10" s="175"/>
      <c r="E10" s="175"/>
      <c r="F10" s="175"/>
      <c r="G10" s="175"/>
      <c r="H10" s="175"/>
      <c r="I10" s="175"/>
      <c r="J10" s="176"/>
    </row>
    <row r="11" spans="2:11" ht="30" customHeight="1" x14ac:dyDescent="0.3">
      <c r="B11" s="170"/>
      <c r="C11" s="174"/>
      <c r="D11" s="175"/>
      <c r="E11" s="175"/>
      <c r="F11" s="175"/>
      <c r="G11" s="175"/>
      <c r="H11" s="175"/>
      <c r="I11" s="175"/>
      <c r="J11" s="176"/>
    </row>
    <row r="12" spans="2:11" ht="30" customHeight="1" x14ac:dyDescent="0.3">
      <c r="B12" s="170" t="s">
        <v>314</v>
      </c>
      <c r="C12" s="171"/>
      <c r="D12" s="172"/>
      <c r="E12" s="172"/>
      <c r="F12" s="172"/>
      <c r="G12" s="172"/>
      <c r="H12" s="172"/>
      <c r="I12" s="172"/>
      <c r="J12" s="173"/>
    </row>
    <row r="13" spans="2:11" ht="30" customHeight="1" x14ac:dyDescent="0.3">
      <c r="B13" s="170"/>
      <c r="C13" s="174"/>
      <c r="D13" s="175"/>
      <c r="E13" s="175"/>
      <c r="F13" s="175"/>
      <c r="G13" s="175"/>
      <c r="H13" s="175"/>
      <c r="I13" s="175"/>
      <c r="J13" s="176"/>
    </row>
    <row r="14" spans="2:11" ht="30" customHeight="1" x14ac:dyDescent="0.3">
      <c r="B14" s="170"/>
      <c r="C14" s="174"/>
      <c r="D14" s="175"/>
      <c r="E14" s="175"/>
      <c r="F14" s="175"/>
      <c r="G14" s="175"/>
      <c r="H14" s="175"/>
      <c r="I14" s="175"/>
      <c r="J14" s="176"/>
    </row>
    <row r="15" spans="2:11" ht="30" customHeight="1" x14ac:dyDescent="0.3">
      <c r="B15" s="170"/>
      <c r="C15" s="174"/>
      <c r="D15" s="175"/>
      <c r="E15" s="175"/>
      <c r="F15" s="175"/>
      <c r="G15" s="175"/>
      <c r="H15" s="175"/>
      <c r="I15" s="175"/>
      <c r="J15" s="176"/>
    </row>
    <row r="16" spans="2:11" ht="30" customHeight="1" x14ac:dyDescent="0.3">
      <c r="B16" s="170"/>
      <c r="C16" s="174"/>
      <c r="D16" s="175"/>
      <c r="E16" s="175"/>
      <c r="F16" s="175"/>
      <c r="G16" s="175"/>
      <c r="H16" s="175"/>
      <c r="I16" s="175"/>
      <c r="J16" s="176"/>
    </row>
    <row r="17" spans="2:11" ht="30" customHeight="1" x14ac:dyDescent="0.3">
      <c r="B17" s="170"/>
      <c r="C17" s="174"/>
      <c r="D17" s="175"/>
      <c r="E17" s="175"/>
      <c r="F17" s="175"/>
      <c r="G17" s="175"/>
      <c r="H17" s="175"/>
      <c r="I17" s="175"/>
      <c r="J17" s="176"/>
    </row>
    <row r="18" spans="2:11" ht="30" customHeight="1" x14ac:dyDescent="0.3">
      <c r="B18" s="170"/>
      <c r="C18" s="186"/>
      <c r="D18" s="187"/>
      <c r="E18" s="187"/>
      <c r="F18" s="187"/>
      <c r="G18" s="187"/>
      <c r="H18" s="187"/>
      <c r="I18" s="187"/>
      <c r="J18" s="188"/>
    </row>
    <row r="19" spans="2:11" ht="48.6" customHeight="1" x14ac:dyDescent="0.3">
      <c r="B19" s="12" t="s">
        <v>315</v>
      </c>
      <c r="C19" s="189" t="s">
        <v>316</v>
      </c>
      <c r="D19" s="189"/>
      <c r="E19" s="189"/>
      <c r="F19" s="189"/>
      <c r="G19" s="189" t="s">
        <v>331</v>
      </c>
      <c r="H19" s="189"/>
      <c r="I19" s="189"/>
      <c r="J19" s="190"/>
      <c r="K19" s="10"/>
    </row>
    <row r="20" spans="2:11" ht="30" customHeight="1" x14ac:dyDescent="0.3">
      <c r="B20" s="191"/>
      <c r="C20" s="194"/>
      <c r="D20" s="195"/>
      <c r="E20" s="195"/>
      <c r="F20" s="196"/>
      <c r="G20" s="177" t="e">
        <f>IF(REGISTRO!#REF!="","",REGISTRO!#REF!)</f>
        <v>#REF!</v>
      </c>
      <c r="H20" s="178"/>
      <c r="I20" s="178"/>
      <c r="J20" s="179"/>
    </row>
    <row r="21" spans="2:11" ht="30" customHeight="1" x14ac:dyDescent="0.3">
      <c r="B21" s="192"/>
      <c r="C21" s="197"/>
      <c r="D21" s="198"/>
      <c r="E21" s="198"/>
      <c r="F21" s="199"/>
      <c r="G21" s="180"/>
      <c r="H21" s="181"/>
      <c r="I21" s="181"/>
      <c r="J21" s="182"/>
    </row>
    <row r="22" spans="2:11" ht="30" customHeight="1" x14ac:dyDescent="0.3">
      <c r="B22" s="193"/>
      <c r="C22" s="200"/>
      <c r="D22" s="201"/>
      <c r="E22" s="201"/>
      <c r="F22" s="202"/>
      <c r="G22" s="183"/>
      <c r="H22" s="184"/>
      <c r="I22" s="184"/>
      <c r="J22" s="185"/>
    </row>
    <row r="23" spans="2:11" ht="30" customHeight="1" x14ac:dyDescent="0.3"/>
    <row r="24" spans="2:11" ht="30" customHeight="1" x14ac:dyDescent="0.3"/>
  </sheetData>
  <sheetProtection algorithmName="SHA-512" hashValue="soONWkstSViq8BbbQQRi+mvqUS0wFHTOBiE8VhXiZ96g//Pd/MWxKJzCbPriUVoMOjAPVfqyesTtxnakZcaiSA==" saltValue="xhB85vx7PF5U75+k0bo1aw==" spinCount="100000" sheet="1" objects="1" scenarios="1"/>
  <dataConsolidate/>
  <mergeCells count="10">
    <mergeCell ref="B4:J4"/>
    <mergeCell ref="B5:B11"/>
    <mergeCell ref="C5:J11"/>
    <mergeCell ref="G20:J22"/>
    <mergeCell ref="B12:B18"/>
    <mergeCell ref="C12:J18"/>
    <mergeCell ref="C19:F19"/>
    <mergeCell ref="G19:J19"/>
    <mergeCell ref="B20:B22"/>
    <mergeCell ref="C20:F22"/>
  </mergeCells>
  <printOptions horizontalCentered="1"/>
  <pageMargins left="0.25" right="0.25" top="0.5" bottom="0.5" header="0.3" footer="0.3"/>
  <pageSetup paperSize="9" scale="62" fitToHeight="0" orientation="landscape" r:id="rId1"/>
  <headerFooter differentFirst="1" scaleWithDoc="0">
    <oddFooter>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57" operator="equal" id="{A4022525-F87E-432C-A17A-8C6CD5E55358}">
            <xm:f>IFERROR("AC#"&amp;"/" &amp;RIGHT(YEAR(REGISTRO!#REF!),2),"")</xm:f>
            <x14:dxf>
              <font>
                <color rgb="FFCCFFCC"/>
              </font>
              <fill>
                <patternFill>
                  <bgColor rgb="FFCCFFCC"/>
                </patternFill>
              </fill>
            </x14:dxf>
          </x14:cfRule>
          <xm:sqref>I2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C8CE97FD65D74DB3E37D09DDEC4903" ma:contentTypeVersion="12" ma:contentTypeDescription="Crear nuevo documento." ma:contentTypeScope="" ma:versionID="a98d7139ab062567f8e7eea3f1a1d37c">
  <xsd:schema xmlns:xsd="http://www.w3.org/2001/XMLSchema" xmlns:xs="http://www.w3.org/2001/XMLSchema" xmlns:p="http://schemas.microsoft.com/office/2006/metadata/properties" xmlns:ns3="fda50c9b-53f8-4c3c-a2ef-f4fb883500fe" xmlns:ns4="6726272b-e4e4-4338-bc5f-6f2ef5c4905e" targetNamespace="http://schemas.microsoft.com/office/2006/metadata/properties" ma:root="true" ma:fieldsID="229263496db776122105654073f59481" ns3:_="" ns4:_="">
    <xsd:import namespace="fda50c9b-53f8-4c3c-a2ef-f4fb883500fe"/>
    <xsd:import namespace="6726272b-e4e4-4338-bc5f-6f2ef5c490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a50c9b-53f8-4c3c-a2ef-f4fb883500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6272b-e4e4-4338-bc5f-6f2ef5c4905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90C713-BAA3-473E-84AE-D982670D5B78}">
  <ds:schemaRefs>
    <ds:schemaRef ds:uri="http://purl.org/dc/elements/1.1/"/>
    <ds:schemaRef ds:uri="fda50c9b-53f8-4c3c-a2ef-f4fb883500f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www.w3.org/XML/1998/namespace"/>
    <ds:schemaRef ds:uri="6726272b-e4e4-4338-bc5f-6f2ef5c4905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5A41D53-FA67-44AE-8876-08115694A6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a50c9b-53f8-4c3c-a2ef-f4fb883500fe"/>
    <ds:schemaRef ds:uri="6726272b-e4e4-4338-bc5f-6f2ef5c490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1D71AF-5FB9-4BD0-86F4-62324934C9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9</vt:i4>
      </vt:variant>
    </vt:vector>
  </HeadingPairs>
  <TitlesOfParts>
    <vt:vector size="14" baseType="lpstr">
      <vt:lpstr>REGISTRO</vt:lpstr>
      <vt:lpstr>ANÁLISIS</vt:lpstr>
      <vt:lpstr>ACTIVIDADES</vt:lpstr>
      <vt:lpstr>CRITERIOS!</vt:lpstr>
      <vt:lpstr>DATOS </vt:lpstr>
      <vt:lpstr>ACTIVIDADES!Área_de_impresión</vt:lpstr>
      <vt:lpstr>ANÁLISIS!Área_de_impresión</vt:lpstr>
      <vt:lpstr>AUDITOR!Área_de_impresión</vt:lpstr>
      <vt:lpstr>'CRITERIOS!'!Área_de_impresión</vt:lpstr>
      <vt:lpstr>REGISTRO!Área_de_impresión</vt:lpstr>
      <vt:lpstr>integrantes</vt:lpstr>
      <vt:lpstr>Lista_Verificación</vt:lpstr>
      <vt:lpstr>Procesos</vt:lpstr>
      <vt:lpstr>ACTIVIDADES!Títulos_a_imprimir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 Omen</dc:creator>
  <cp:keywords/>
  <dc:description/>
  <cp:lastModifiedBy>Hector Paez</cp:lastModifiedBy>
  <cp:revision/>
  <cp:lastPrinted>2025-12-19T21:15:16Z</cp:lastPrinted>
  <dcterms:created xsi:type="dcterms:W3CDTF">2022-09-01T21:46:58Z</dcterms:created>
  <dcterms:modified xsi:type="dcterms:W3CDTF">2026-04-23T00:47:14Z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0x010100DCC8CE97FD65D74DB3E37D09DDEC4903</vt:lpwstr>
  </property>
</Properties>
</file>