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oomapasc-my.sharepoint.com/personal/hpaez_oomapasc_gob_mx1/Documents/HP/Archivo Control/"/>
    </mc:Choice>
  </mc:AlternateContent>
  <xr:revisionPtr revIDLastSave="5041" documentId="8_{C1FC1449-7C57-47BD-B4F9-79948AB23BE6}" xr6:coauthVersionLast="47" xr6:coauthVersionMax="47" xr10:uidLastSave="{A3735701-91D6-43BB-84F5-94E589828521}"/>
  <bookViews>
    <workbookView xWindow="28680" yWindow="-120" windowWidth="20730" windowHeight="11040" firstSheet="6" activeTab="6" xr2:uid="{14476E21-0DF8-427C-91EA-6CFCF062EDA5}"/>
  </bookViews>
  <sheets>
    <sheet name="Hoja1" sheetId="12" r:id="rId1"/>
    <sheet name="RD" sheetId="5" r:id="rId2"/>
    <sheet name="BUSCAR ÁREAS" sheetId="7" state="veryHidden" r:id="rId3"/>
    <sheet name="RESUMEN" sheetId="8" r:id="rId4"/>
    <sheet name="Hoja4" sheetId="18" r:id="rId5"/>
    <sheet name="Auditores" sheetId="11" r:id="rId6"/>
    <sheet name="Mejoras" sheetId="16" r:id="rId7"/>
    <sheet name="Acciones" sheetId="6" r:id="rId8"/>
    <sheet name="Pendientes prOFU" sheetId="14" r:id="rId9"/>
    <sheet name="Revisión Pendientes" sheetId="13" r:id="rId10"/>
    <sheet name="Hoja2" sheetId="15" r:id="rId11"/>
    <sheet name="Hoja3" sheetId="17" r:id="rId12"/>
  </sheets>
  <externalReferences>
    <externalReference r:id="rId13"/>
  </externalReferences>
  <definedNames>
    <definedName name="_xlnm._FilterDatabase" localSheetId="3" hidden="1">RESUMEN!$S$28:$Y$50</definedName>
    <definedName name="_xlcn.WorksheetConnection_CONTROL3.xlsxACCIONES1" localSheetId="7" hidden="1">#REF!</definedName>
    <definedName name="_xlcn.WorksheetConnection_CONTROL3.xlsxACCIONES1" localSheetId="5" hidden="1">[1]!ACCIONES[#Data]</definedName>
    <definedName name="_xlcn.WorksheetConnection_CONTROL3.xlsxACCIONES1" localSheetId="2" hidden="1">#REF!</definedName>
    <definedName name="_xlcn.WorksheetConnection_CONTROL3.xlsxACCIONES1" localSheetId="6" hidden="1">#REF!</definedName>
    <definedName name="_xlcn.WorksheetConnection_CONTROL3.xlsxACCIONES1" localSheetId="3" hidden="1">#REF!</definedName>
    <definedName name="_xlcn.WorksheetConnection_CONTROL3.xlsxACCIONES1" hidden="1">#REF!</definedName>
    <definedName name="_xlcn.WorksheetConnection_CONTROL3.xlsxMEJORAS1" localSheetId="7" hidden="1">#REF!</definedName>
    <definedName name="_xlcn.WorksheetConnection_CONTROL3.xlsxMEJORAS1" localSheetId="5" hidden="1">[1]!MEJORAS[#Data]</definedName>
    <definedName name="_xlcn.WorksheetConnection_CONTROL3.xlsxMEJORAS1" localSheetId="2" hidden="1">#REF!</definedName>
    <definedName name="_xlcn.WorksheetConnection_CONTROL3.xlsxMEJORAS1" localSheetId="6" hidden="1">#REF!</definedName>
    <definedName name="_xlcn.WorksheetConnection_CONTROL3.xlsxMEJORAS1" localSheetId="3" hidden="1">#REF!</definedName>
    <definedName name="_xlcn.WorksheetConnection_CONTROL3.xlsxMEJORAS1" hidden="1">#REF!</definedName>
    <definedName name="_xlcn.WorksheetConnection_CONTROL3.xlsxTabla11" localSheetId="7" hidden="1">Tabla1</definedName>
    <definedName name="_xlcn.WorksheetConnection_CONTROL3.xlsxTabla11" localSheetId="5" hidden="1">Tabla1</definedName>
    <definedName name="_xlcn.WorksheetConnection_CONTROL3.xlsxTabla11" localSheetId="2" hidden="1">Tabla1</definedName>
    <definedName name="_xlcn.WorksheetConnection_CONTROL3.xlsxTabla11" localSheetId="6" hidden="1">Tabla1</definedName>
    <definedName name="_xlcn.WorksheetConnection_CONTROL3.xlsxTabla11" localSheetId="1" hidden="1">Tabla1</definedName>
    <definedName name="_xlcn.WorksheetConnection_CONTROL3.xlsxTabla11" localSheetId="3" hidden="1">Tabla1</definedName>
    <definedName name="_xlcn.WorksheetConnection_CONTROL3.xlsxTabla11" hidden="1">Tabla1</definedName>
    <definedName name="_xlnm.Print_Area" localSheetId="7">Acciones!$C$1:$AO$13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6" l="1"/>
  <c r="AO3" i="6"/>
  <c r="AO4" i="6"/>
  <c r="AO5" i="6"/>
  <c r="AO6" i="6"/>
  <c r="AO7" i="6"/>
  <c r="AO8" i="6"/>
  <c r="AO9" i="6"/>
  <c r="AO10" i="6"/>
  <c r="AO11" i="6"/>
  <c r="AO12" i="6"/>
  <c r="AO13" i="6"/>
  <c r="AO14" i="6"/>
  <c r="AO15" i="6"/>
  <c r="AO16" i="6"/>
  <c r="AO17" i="6"/>
  <c r="AO18" i="6"/>
  <c r="AO19" i="6"/>
  <c r="AO20" i="6"/>
  <c r="AO21" i="6"/>
  <c r="AO22" i="6"/>
  <c r="AO23" i="6"/>
  <c r="AO24" i="6"/>
  <c r="AO25" i="6"/>
  <c r="AO26" i="6"/>
  <c r="AO27" i="6"/>
  <c r="AO28" i="6"/>
  <c r="AO29" i="6"/>
  <c r="AO30" i="6"/>
  <c r="AO31" i="6"/>
  <c r="AO32" i="6"/>
  <c r="AO33" i="6"/>
  <c r="AO34" i="6"/>
  <c r="AO35" i="6"/>
  <c r="AO36" i="6"/>
  <c r="AO37" i="6"/>
  <c r="AO38" i="6"/>
  <c r="AO39" i="6"/>
  <c r="AO40" i="6"/>
  <c r="AO41" i="6"/>
  <c r="AO42" i="6"/>
  <c r="AO43" i="6"/>
  <c r="AO44" i="6"/>
  <c r="AO45" i="6"/>
  <c r="AO46" i="6"/>
  <c r="AO47" i="6"/>
  <c r="AO48" i="6"/>
  <c r="AO49" i="6"/>
  <c r="AO50" i="6"/>
  <c r="AO51" i="6"/>
  <c r="AO52" i="6"/>
  <c r="AO53" i="6"/>
  <c r="AO54" i="6"/>
  <c r="AO55" i="6"/>
  <c r="AO56" i="6"/>
  <c r="AO57" i="6"/>
  <c r="AO58" i="6"/>
  <c r="AO59" i="6"/>
  <c r="AO60" i="6"/>
  <c r="AO61" i="6"/>
  <c r="AO62" i="6"/>
  <c r="AO63" i="6"/>
  <c r="AO64" i="6"/>
  <c r="C64" i="6"/>
  <c r="D64" i="6"/>
  <c r="U64" i="6"/>
  <c r="V64" i="6"/>
  <c r="W64" i="6"/>
  <c r="X64" i="6"/>
  <c r="Y64" i="6"/>
  <c r="Z64" i="6"/>
  <c r="AA64" i="6"/>
  <c r="AB64" i="6"/>
  <c r="AC64" i="6"/>
  <c r="AD64" i="6"/>
  <c r="AE64" i="6"/>
  <c r="AF64" i="6"/>
  <c r="AG64" i="6"/>
  <c r="AH64" i="6"/>
  <c r="AJ64" i="6" a="1"/>
  <c r="AJ64" i="6" s="1"/>
  <c r="AK64" i="6" a="1"/>
  <c r="AK64" i="6" s="1"/>
  <c r="AL64" i="6" a="1"/>
  <c r="AL64" i="6" s="1"/>
  <c r="AM64" i="6" a="1"/>
  <c r="AM64" i="6" s="1"/>
  <c r="C63" i="6"/>
  <c r="D63" i="6"/>
  <c r="U63" i="6"/>
  <c r="V63" i="6"/>
  <c r="W63" i="6"/>
  <c r="X63" i="6"/>
  <c r="Y63" i="6"/>
  <c r="Z63" i="6"/>
  <c r="AA63" i="6"/>
  <c r="AB63" i="6"/>
  <c r="AC63" i="6"/>
  <c r="AD63" i="6"/>
  <c r="AE63" i="6"/>
  <c r="AF63" i="6"/>
  <c r="AG63" i="6"/>
  <c r="AH63" i="6"/>
  <c r="AJ63" i="6" a="1"/>
  <c r="AJ63" i="6" s="1"/>
  <c r="AK63" i="6" a="1"/>
  <c r="AK63" i="6" s="1"/>
  <c r="AL63" i="6" a="1"/>
  <c r="AL63" i="6" s="1"/>
  <c r="AM63" i="6" a="1"/>
  <c r="AM63" i="6" s="1"/>
  <c r="C62" i="6"/>
  <c r="D62" i="6"/>
  <c r="U62" i="6"/>
  <c r="V62" i="6"/>
  <c r="W62" i="6"/>
  <c r="X62" i="6"/>
  <c r="Y62" i="6"/>
  <c r="Z62" i="6"/>
  <c r="AA62" i="6"/>
  <c r="AB62" i="6"/>
  <c r="AC62" i="6"/>
  <c r="AD62" i="6"/>
  <c r="AE62" i="6"/>
  <c r="AF62" i="6"/>
  <c r="AG62" i="6"/>
  <c r="AH62" i="6"/>
  <c r="AJ62" i="6" a="1"/>
  <c r="AJ62" i="6" s="1"/>
  <c r="AK62" i="6" a="1"/>
  <c r="AK62" i="6" s="1"/>
  <c r="AL62" i="6" a="1"/>
  <c r="AL62" i="6" s="1"/>
  <c r="AM62" i="6" a="1"/>
  <c r="AM62" i="6" s="1"/>
  <c r="AI64" i="6" l="1"/>
  <c r="AI63" i="6"/>
  <c r="AN64" i="6"/>
  <c r="AN63" i="6"/>
  <c r="AI62" i="6"/>
  <c r="AN62" i="6"/>
  <c r="C61" i="6" l="1"/>
  <c r="D61" i="6"/>
  <c r="U61" i="6"/>
  <c r="V61" i="6"/>
  <c r="W61" i="6"/>
  <c r="X61" i="6"/>
  <c r="Y61" i="6"/>
  <c r="Z61" i="6"/>
  <c r="AA61" i="6"/>
  <c r="AB61" i="6"/>
  <c r="AC61" i="6"/>
  <c r="AD61" i="6"/>
  <c r="AE61" i="6"/>
  <c r="AF61" i="6"/>
  <c r="AG61" i="6"/>
  <c r="AH61" i="6"/>
  <c r="AJ61" i="6" a="1"/>
  <c r="AJ61" i="6" s="1"/>
  <c r="AK61" i="6" a="1"/>
  <c r="AK61" i="6" s="1"/>
  <c r="AL61" i="6" a="1"/>
  <c r="AL61" i="6" s="1"/>
  <c r="AM61" i="6" a="1"/>
  <c r="AM61" i="6" s="1"/>
  <c r="AI61" i="6" l="1"/>
  <c r="AN61" i="6"/>
  <c r="D7" i="8" l="1" a="1"/>
  <c r="D7" i="8" s="1"/>
  <c r="AB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I2" i="6"/>
  <c r="AI3" i="6"/>
  <c r="AI4" i="6"/>
  <c r="AI5" i="6"/>
  <c r="AI6" i="6"/>
  <c r="AI7" i="6"/>
  <c r="AI8" i="6"/>
  <c r="AI9" i="6"/>
  <c r="AI10" i="6"/>
  <c r="AI11" i="6"/>
  <c r="AI12" i="6"/>
  <c r="AI13" i="6"/>
  <c r="AI14" i="6"/>
  <c r="AI15" i="6"/>
  <c r="AI16" i="6"/>
  <c r="AI17" i="6"/>
  <c r="AI18" i="6"/>
  <c r="AI19" i="6"/>
  <c r="AI20" i="6"/>
  <c r="AI21" i="6"/>
  <c r="AI22" i="6"/>
  <c r="AI25" i="6"/>
  <c r="AI26" i="6"/>
  <c r="AI27" i="6"/>
  <c r="AI30" i="6"/>
  <c r="AI32" i="6"/>
  <c r="AI33" i="6"/>
  <c r="AI36" i="6"/>
  <c r="AI37" i="6"/>
  <c r="AI38" i="6"/>
  <c r="AI39" i="6"/>
  <c r="AI40" i="6"/>
  <c r="AI41" i="6"/>
  <c r="AI43" i="6"/>
  <c r="AI46" i="6"/>
  <c r="AI47" i="6"/>
  <c r="AI48" i="6"/>
  <c r="AI49" i="6"/>
  <c r="AI50" i="6"/>
  <c r="AI51" i="6"/>
  <c r="AI54" i="6"/>
  <c r="C60" i="6"/>
  <c r="D60" i="6"/>
  <c r="U60" i="6"/>
  <c r="V60" i="6"/>
  <c r="W60" i="6"/>
  <c r="X60" i="6"/>
  <c r="Y60" i="6"/>
  <c r="Z60" i="6"/>
  <c r="AA60" i="6"/>
  <c r="AC60" i="6"/>
  <c r="AD60" i="6"/>
  <c r="AE60" i="6"/>
  <c r="AF60" i="6"/>
  <c r="AG60" i="6"/>
  <c r="AH60" i="6"/>
  <c r="AJ60" i="6" a="1"/>
  <c r="AJ60" i="6" s="1"/>
  <c r="AK60" i="6" a="1"/>
  <c r="AK60" i="6" s="1"/>
  <c r="AL60" i="6" a="1"/>
  <c r="AL60" i="6" s="1"/>
  <c r="AM60" i="6" a="1"/>
  <c r="AM60" i="6" s="1"/>
  <c r="B2" i="16"/>
  <c r="D2" i="16"/>
  <c r="F2" i="16"/>
  <c r="T2" i="16"/>
  <c r="U2" i="16"/>
  <c r="V2" i="16"/>
  <c r="W2" i="16"/>
  <c r="X2" i="16"/>
  <c r="Y2" i="16"/>
  <c r="Z2" i="16"/>
  <c r="AB2" i="16"/>
  <c r="AC2" i="16"/>
  <c r="AD2" i="16"/>
  <c r="AE2" i="16"/>
  <c r="AF2" i="16"/>
  <c r="AG2" i="16"/>
  <c r="AI2" i="16" a="1"/>
  <c r="AI2" i="16" s="1"/>
  <c r="AJ2" i="16" a="1"/>
  <c r="AJ2" i="16" s="1"/>
  <c r="AK2" i="16" a="1"/>
  <c r="AK2" i="16" s="1"/>
  <c r="AL2" i="16" a="1"/>
  <c r="AL2" i="16" s="1"/>
  <c r="AN2" i="16"/>
  <c r="B3" i="16"/>
  <c r="D3" i="16"/>
  <c r="D4" i="16" s="1"/>
  <c r="D5" i="16" s="1"/>
  <c r="D6" i="16" s="1"/>
  <c r="D7" i="16" s="1"/>
  <c r="D8" i="16" s="1"/>
  <c r="D9" i="16" s="1"/>
  <c r="D10" i="16" s="1"/>
  <c r="D11" i="16" s="1"/>
  <c r="D12" i="16" s="1"/>
  <c r="D13" i="16" s="1"/>
  <c r="D14" i="16" s="1"/>
  <c r="D15" i="16" s="1"/>
  <c r="D16" i="16" s="1"/>
  <c r="D17" i="16" s="1"/>
  <c r="D18" i="16" s="1"/>
  <c r="F3" i="16"/>
  <c r="T3" i="16"/>
  <c r="U3" i="16"/>
  <c r="V3" i="16"/>
  <c r="W3" i="16"/>
  <c r="X3" i="16"/>
  <c r="Y3" i="16"/>
  <c r="Z3" i="16"/>
  <c r="AB3" i="16"/>
  <c r="AC3" i="16"/>
  <c r="AD3" i="16"/>
  <c r="AE3" i="16"/>
  <c r="AF3" i="16"/>
  <c r="AG3" i="16"/>
  <c r="AI3" i="16" a="1"/>
  <c r="AI3" i="16" s="1"/>
  <c r="AJ3" i="16" a="1"/>
  <c r="AJ3" i="16" s="1"/>
  <c r="AK3" i="16" a="1"/>
  <c r="AK3" i="16" s="1"/>
  <c r="AL3" i="16" a="1"/>
  <c r="AL3" i="16" s="1"/>
  <c r="AN3" i="16"/>
  <c r="AO3" i="16"/>
  <c r="AO4" i="16" s="1"/>
  <c r="AO5" i="16" s="1"/>
  <c r="AO6" i="16" s="1"/>
  <c r="AO7" i="16" s="1"/>
  <c r="AO8" i="16" s="1"/>
  <c r="AO9" i="16" s="1"/>
  <c r="AO10" i="16" s="1"/>
  <c r="AO11" i="16" s="1"/>
  <c r="AO12" i="16" s="1"/>
  <c r="AO13" i="16" s="1"/>
  <c r="AO14" i="16" s="1"/>
  <c r="AO15" i="16" s="1"/>
  <c r="AO16" i="16" s="1"/>
  <c r="AO17" i="16" s="1"/>
  <c r="AO18" i="16" s="1"/>
  <c r="AO19" i="16" s="1"/>
  <c r="AO20" i="16" s="1"/>
  <c r="AO21" i="16" s="1"/>
  <c r="AO22" i="16" s="1"/>
  <c r="AO23" i="16" s="1"/>
  <c r="AO24" i="16" s="1"/>
  <c r="AO25" i="16" s="1"/>
  <c r="AO26" i="16" s="1"/>
  <c r="AO27" i="16" s="1"/>
  <c r="AO28" i="16" s="1"/>
  <c r="AO29" i="16" s="1"/>
  <c r="AO30" i="16" s="1"/>
  <c r="AO31" i="16" s="1"/>
  <c r="AO32" i="16" s="1"/>
  <c r="AO33" i="16" s="1"/>
  <c r="AO34" i="16" s="1"/>
  <c r="AO35" i="16" s="1"/>
  <c r="AO36" i="16" s="1"/>
  <c r="AO37" i="16" s="1"/>
  <c r="AO38" i="16" s="1"/>
  <c r="AO39" i="16" s="1"/>
  <c r="B4" i="16"/>
  <c r="F4" i="16"/>
  <c r="T4" i="16"/>
  <c r="U4" i="16"/>
  <c r="V4" i="16"/>
  <c r="W4" i="16"/>
  <c r="X4" i="16"/>
  <c r="Y4" i="16"/>
  <c r="Z4" i="16"/>
  <c r="AB4" i="16"/>
  <c r="AC4" i="16"/>
  <c r="AD4" i="16"/>
  <c r="AE4" i="16"/>
  <c r="AF4" i="16"/>
  <c r="AG4" i="16"/>
  <c r="AI4" i="16" a="1"/>
  <c r="AI4" i="16" s="1"/>
  <c r="AJ4" i="16" a="1"/>
  <c r="AJ4" i="16" s="1"/>
  <c r="AK4" i="16" a="1"/>
  <c r="AK4" i="16" s="1"/>
  <c r="AL4" i="16" a="1"/>
  <c r="AL4" i="16" s="1"/>
  <c r="AN4" i="16"/>
  <c r="B5" i="16"/>
  <c r="F5" i="16"/>
  <c r="T5" i="16"/>
  <c r="U5" i="16"/>
  <c r="V5" i="16"/>
  <c r="W5" i="16"/>
  <c r="X5" i="16"/>
  <c r="Y5" i="16"/>
  <c r="Z5" i="16"/>
  <c r="AB5" i="16"/>
  <c r="AC5" i="16"/>
  <c r="AD5" i="16"/>
  <c r="AE5" i="16"/>
  <c r="AF5" i="16"/>
  <c r="AG5" i="16"/>
  <c r="AI5" i="16" a="1"/>
  <c r="AI5" i="16" s="1"/>
  <c r="AJ5" i="16" a="1"/>
  <c r="AJ5" i="16" s="1"/>
  <c r="AK5" i="16" a="1"/>
  <c r="AK5" i="16" s="1"/>
  <c r="AL5" i="16" a="1"/>
  <c r="AL5" i="16" s="1"/>
  <c r="AN5" i="16"/>
  <c r="B6" i="16"/>
  <c r="F6" i="16"/>
  <c r="T6" i="16"/>
  <c r="U6" i="16"/>
  <c r="V6" i="16"/>
  <c r="W6" i="16"/>
  <c r="X6" i="16"/>
  <c r="Y6" i="16"/>
  <c r="Z6" i="16"/>
  <c r="AB6" i="16"/>
  <c r="AC6" i="16"/>
  <c r="AD6" i="16"/>
  <c r="AE6" i="16"/>
  <c r="AF6" i="16"/>
  <c r="AG6" i="16"/>
  <c r="AI6" i="16" a="1"/>
  <c r="AI6" i="16" s="1"/>
  <c r="AJ6" i="16" a="1"/>
  <c r="AJ6" i="16" s="1"/>
  <c r="AK6" i="16" a="1"/>
  <c r="AK6" i="16" s="1"/>
  <c r="AL6" i="16" a="1"/>
  <c r="AL6" i="16" s="1"/>
  <c r="AN6" i="16"/>
  <c r="B7" i="16"/>
  <c r="F7" i="16"/>
  <c r="T7" i="16"/>
  <c r="U7" i="16"/>
  <c r="V7" i="16"/>
  <c r="W7" i="16"/>
  <c r="X7" i="16"/>
  <c r="Y7" i="16"/>
  <c r="Z7" i="16"/>
  <c r="AB7" i="16"/>
  <c r="AC7" i="16"/>
  <c r="AD7" i="16"/>
  <c r="AE7" i="16"/>
  <c r="AF7" i="16"/>
  <c r="AG7" i="16"/>
  <c r="AI7" i="16" a="1"/>
  <c r="AI7" i="16" s="1"/>
  <c r="AJ7" i="16" a="1"/>
  <c r="AJ7" i="16" s="1"/>
  <c r="AK7" i="16" a="1"/>
  <c r="AK7" i="16" s="1"/>
  <c r="AL7" i="16" a="1"/>
  <c r="AL7" i="16" s="1"/>
  <c r="AN7" i="16"/>
  <c r="B8" i="16"/>
  <c r="F8" i="16"/>
  <c r="T8" i="16"/>
  <c r="U8" i="16"/>
  <c r="V8" i="16"/>
  <c r="W8" i="16"/>
  <c r="X8" i="16"/>
  <c r="Y8" i="16"/>
  <c r="Z8" i="16"/>
  <c r="AB8" i="16"/>
  <c r="AC8" i="16"/>
  <c r="AD8" i="16"/>
  <c r="AE8" i="16"/>
  <c r="AF8" i="16"/>
  <c r="AG8" i="16"/>
  <c r="AI8" i="16" a="1"/>
  <c r="AI8" i="16" s="1"/>
  <c r="AJ8" i="16" a="1"/>
  <c r="AJ8" i="16" s="1"/>
  <c r="AK8" i="16" a="1"/>
  <c r="AK8" i="16" s="1"/>
  <c r="AL8" i="16" a="1"/>
  <c r="AL8" i="16" s="1"/>
  <c r="AN8" i="16"/>
  <c r="B9" i="16"/>
  <c r="F9" i="16"/>
  <c r="T9" i="16"/>
  <c r="U9" i="16"/>
  <c r="V9" i="16"/>
  <c r="W9" i="16"/>
  <c r="X9" i="16"/>
  <c r="Y9" i="16"/>
  <c r="Z9" i="16"/>
  <c r="AB9" i="16"/>
  <c r="AC9" i="16"/>
  <c r="AD9" i="16"/>
  <c r="AE9" i="16"/>
  <c r="AF9" i="16"/>
  <c r="AG9" i="16"/>
  <c r="AI9" i="16" a="1"/>
  <c r="AI9" i="16" s="1"/>
  <c r="AJ9" i="16" a="1"/>
  <c r="AJ9" i="16" s="1"/>
  <c r="AK9" i="16" a="1"/>
  <c r="AK9" i="16" s="1"/>
  <c r="AL9" i="16" a="1"/>
  <c r="AL9" i="16" s="1"/>
  <c r="AN9" i="16"/>
  <c r="B10" i="16"/>
  <c r="F10" i="16"/>
  <c r="T10" i="16"/>
  <c r="U10" i="16"/>
  <c r="V10" i="16"/>
  <c r="W10" i="16"/>
  <c r="X10" i="16"/>
  <c r="Y10" i="16"/>
  <c r="Z10" i="16"/>
  <c r="AB10" i="16"/>
  <c r="AC10" i="16"/>
  <c r="AD10" i="16"/>
  <c r="AE10" i="16"/>
  <c r="AF10" i="16"/>
  <c r="AG10" i="16"/>
  <c r="AI10" i="16" a="1"/>
  <c r="AI10" i="16" s="1"/>
  <c r="AJ10" i="16" a="1"/>
  <c r="AJ10" i="16" s="1"/>
  <c r="AK10" i="16" a="1"/>
  <c r="AK10" i="16" s="1"/>
  <c r="AL10" i="16" a="1"/>
  <c r="AL10" i="16" s="1"/>
  <c r="AN10" i="16"/>
  <c r="B11" i="16"/>
  <c r="F11" i="16"/>
  <c r="T11" i="16"/>
  <c r="U11" i="16"/>
  <c r="V11" i="16"/>
  <c r="W11" i="16"/>
  <c r="X11" i="16"/>
  <c r="Y11" i="16"/>
  <c r="Z11" i="16"/>
  <c r="AB11" i="16"/>
  <c r="AC11" i="16"/>
  <c r="AD11" i="16"/>
  <c r="AE11" i="16"/>
  <c r="AF11" i="16"/>
  <c r="AG11" i="16"/>
  <c r="AI11" i="16" a="1"/>
  <c r="AI11" i="16" s="1"/>
  <c r="AJ11" i="16" a="1"/>
  <c r="AJ11" i="16" s="1"/>
  <c r="AK11" i="16" a="1"/>
  <c r="AK11" i="16" s="1"/>
  <c r="AL11" i="16" a="1"/>
  <c r="AL11" i="16" s="1"/>
  <c r="AN11" i="16"/>
  <c r="B12" i="16"/>
  <c r="F12" i="16"/>
  <c r="T12" i="16"/>
  <c r="U12" i="16"/>
  <c r="V12" i="16"/>
  <c r="W12" i="16"/>
  <c r="X12" i="16"/>
  <c r="Y12" i="16"/>
  <c r="Z12" i="16"/>
  <c r="AB12" i="16"/>
  <c r="AC12" i="16"/>
  <c r="AD12" i="16"/>
  <c r="AE12" i="16"/>
  <c r="AF12" i="16"/>
  <c r="AG12" i="16"/>
  <c r="AI12" i="16" a="1"/>
  <c r="AI12" i="16" s="1"/>
  <c r="AJ12" i="16" a="1"/>
  <c r="AJ12" i="16" s="1"/>
  <c r="AK12" i="16" a="1"/>
  <c r="AK12" i="16" s="1"/>
  <c r="AL12" i="16" a="1"/>
  <c r="AL12" i="16" s="1"/>
  <c r="AN12" i="16"/>
  <c r="B13" i="16"/>
  <c r="F13" i="16"/>
  <c r="T13" i="16"/>
  <c r="U13" i="16"/>
  <c r="V13" i="16"/>
  <c r="W13" i="16"/>
  <c r="X13" i="16"/>
  <c r="Y13" i="16"/>
  <c r="Z13" i="16"/>
  <c r="AB13" i="16"/>
  <c r="AC13" i="16"/>
  <c r="AD13" i="16"/>
  <c r="AE13" i="16"/>
  <c r="AF13" i="16"/>
  <c r="AG13" i="16"/>
  <c r="AI13" i="16" a="1"/>
  <c r="AI13" i="16" s="1"/>
  <c r="AJ13" i="16" a="1"/>
  <c r="AJ13" i="16" s="1"/>
  <c r="AK13" i="16" a="1"/>
  <c r="AK13" i="16" s="1"/>
  <c r="AL13" i="16" a="1"/>
  <c r="AL13" i="16" s="1"/>
  <c r="AN13" i="16"/>
  <c r="B14" i="16"/>
  <c r="F14" i="16"/>
  <c r="T14" i="16"/>
  <c r="U14" i="16"/>
  <c r="V14" i="16"/>
  <c r="W14" i="16"/>
  <c r="X14" i="16"/>
  <c r="Y14" i="16"/>
  <c r="Z14" i="16"/>
  <c r="AB14" i="16"/>
  <c r="AC14" i="16"/>
  <c r="AD14" i="16"/>
  <c r="AE14" i="16"/>
  <c r="AF14" i="16"/>
  <c r="AG14" i="16"/>
  <c r="AI14" i="16" a="1"/>
  <c r="AI14" i="16" s="1"/>
  <c r="AJ14" i="16" a="1"/>
  <c r="AJ14" i="16" s="1"/>
  <c r="AK14" i="16" a="1"/>
  <c r="AK14" i="16" s="1"/>
  <c r="AL14" i="16" a="1"/>
  <c r="AL14" i="16" s="1"/>
  <c r="AN14" i="16"/>
  <c r="B15" i="16"/>
  <c r="F15" i="16"/>
  <c r="T15" i="16"/>
  <c r="U15" i="16"/>
  <c r="V15" i="16"/>
  <c r="W15" i="16"/>
  <c r="X15" i="16"/>
  <c r="Y15" i="16"/>
  <c r="Z15" i="16"/>
  <c r="AB15" i="16"/>
  <c r="AC15" i="16"/>
  <c r="AD15" i="16"/>
  <c r="AE15" i="16"/>
  <c r="AF15" i="16"/>
  <c r="AG15" i="16"/>
  <c r="AI15" i="16" a="1"/>
  <c r="AI15" i="16" s="1"/>
  <c r="AJ15" i="16" a="1"/>
  <c r="AJ15" i="16" s="1"/>
  <c r="AK15" i="16" a="1"/>
  <c r="AK15" i="16" s="1"/>
  <c r="AL15" i="16" a="1"/>
  <c r="AL15" i="16" s="1"/>
  <c r="AN15" i="16"/>
  <c r="B16" i="16"/>
  <c r="F16" i="16"/>
  <c r="T16" i="16"/>
  <c r="U16" i="16"/>
  <c r="V16" i="16"/>
  <c r="W16" i="16"/>
  <c r="X16" i="16"/>
  <c r="Y16" i="16"/>
  <c r="Z16" i="16"/>
  <c r="AB16" i="16"/>
  <c r="AC16" i="16"/>
  <c r="AD16" i="16"/>
  <c r="AE16" i="16"/>
  <c r="AF16" i="16"/>
  <c r="AG16" i="16"/>
  <c r="AI16" i="16" a="1"/>
  <c r="AI16" i="16" s="1"/>
  <c r="AJ16" i="16" a="1"/>
  <c r="AJ16" i="16" s="1"/>
  <c r="AK16" i="16" a="1"/>
  <c r="AK16" i="16" s="1"/>
  <c r="AL16" i="16" a="1"/>
  <c r="AL16" i="16" s="1"/>
  <c r="AN16" i="16"/>
  <c r="B17" i="16"/>
  <c r="F17" i="16"/>
  <c r="T17" i="16"/>
  <c r="U17" i="16"/>
  <c r="V17" i="16"/>
  <c r="W17" i="16"/>
  <c r="X17" i="16"/>
  <c r="Y17" i="16"/>
  <c r="Z17" i="16"/>
  <c r="AB17" i="16"/>
  <c r="AC17" i="16"/>
  <c r="AD17" i="16"/>
  <c r="AE17" i="16"/>
  <c r="AF17" i="16"/>
  <c r="AG17" i="16"/>
  <c r="AI17" i="16" a="1"/>
  <c r="AI17" i="16" s="1"/>
  <c r="AJ17" i="16" a="1"/>
  <c r="AJ17" i="16" s="1"/>
  <c r="AK17" i="16" a="1"/>
  <c r="AK17" i="16" s="1"/>
  <c r="AL17" i="16" a="1"/>
  <c r="AL17" i="16" s="1"/>
  <c r="AN17" i="16"/>
  <c r="B18" i="16"/>
  <c r="F18" i="16"/>
  <c r="T18" i="16"/>
  <c r="U18" i="16"/>
  <c r="V18" i="16"/>
  <c r="W18" i="16"/>
  <c r="X18" i="16"/>
  <c r="Y18" i="16"/>
  <c r="Z18" i="16"/>
  <c r="AB18" i="16"/>
  <c r="AC18" i="16"/>
  <c r="AD18" i="16"/>
  <c r="AE18" i="16"/>
  <c r="AF18" i="16"/>
  <c r="AG18" i="16"/>
  <c r="AI18" i="16" a="1"/>
  <c r="AI18" i="16" s="1"/>
  <c r="AJ18" i="16" a="1"/>
  <c r="AJ18" i="16" s="1"/>
  <c r="AK18" i="16" a="1"/>
  <c r="AK18" i="16" s="1"/>
  <c r="AL18" i="16" a="1"/>
  <c r="AL18" i="16" s="1"/>
  <c r="AN18" i="16"/>
  <c r="B19" i="16"/>
  <c r="D19" i="16"/>
  <c r="F19" i="16"/>
  <c r="T19" i="16"/>
  <c r="U19" i="16"/>
  <c r="V19" i="16"/>
  <c r="W19" i="16"/>
  <c r="X19" i="16"/>
  <c r="Y19" i="16"/>
  <c r="Z19" i="16"/>
  <c r="AB19" i="16"/>
  <c r="AC19" i="16"/>
  <c r="AD19" i="16"/>
  <c r="AE19" i="16"/>
  <c r="AF19" i="16"/>
  <c r="AG19" i="16"/>
  <c r="AI19" i="16" a="1"/>
  <c r="AI19" i="16" s="1"/>
  <c r="AJ19" i="16" a="1"/>
  <c r="AJ19" i="16" s="1"/>
  <c r="AK19" i="16" a="1"/>
  <c r="AK19" i="16" s="1"/>
  <c r="AL19" i="16" a="1"/>
  <c r="AL19" i="16" s="1"/>
  <c r="AN19" i="16"/>
  <c r="B20" i="16"/>
  <c r="D20" i="16"/>
  <c r="F20" i="16" s="1"/>
  <c r="T20" i="16"/>
  <c r="U20" i="16"/>
  <c r="V20" i="16"/>
  <c r="W20" i="16"/>
  <c r="X20" i="16"/>
  <c r="Y20" i="16"/>
  <c r="Z20" i="16"/>
  <c r="AA20" i="16"/>
  <c r="AB20" i="16"/>
  <c r="AC20" i="16"/>
  <c r="AD20" i="16"/>
  <c r="AE20" i="16"/>
  <c r="AF20" i="16"/>
  <c r="AG20" i="16"/>
  <c r="AH20" i="16"/>
  <c r="AJ20" i="16" a="1"/>
  <c r="AJ20" i="16" s="1"/>
  <c r="AK20" i="16" a="1"/>
  <c r="AK20" i="16" s="1"/>
  <c r="AL20" i="16" a="1"/>
  <c r="AL20" i="16" s="1"/>
  <c r="AM20" i="16" a="1"/>
  <c r="AM20" i="16" s="1"/>
  <c r="AN20" i="16"/>
  <c r="B21" i="16"/>
  <c r="T21" i="16"/>
  <c r="U21" i="16"/>
  <c r="V21" i="16"/>
  <c r="W21" i="16"/>
  <c r="X21" i="16"/>
  <c r="Y21" i="16"/>
  <c r="Z21" i="16"/>
  <c r="AA21" i="16"/>
  <c r="AB21" i="16"/>
  <c r="AC21" i="16"/>
  <c r="AD21" i="16"/>
  <c r="AE21" i="16"/>
  <c r="AF21" i="16"/>
  <c r="AG21" i="16"/>
  <c r="AH21" i="16"/>
  <c r="AJ21" i="16" a="1"/>
  <c r="AJ21" i="16" s="1"/>
  <c r="AK21" i="16" a="1"/>
  <c r="AK21" i="16" s="1"/>
  <c r="AL21" i="16" a="1"/>
  <c r="AL21" i="16" s="1"/>
  <c r="AM21" i="16" a="1"/>
  <c r="AM21" i="16" s="1"/>
  <c r="AN21" i="16"/>
  <c r="B22" i="16"/>
  <c r="T22" i="16"/>
  <c r="U22" i="16"/>
  <c r="V22" i="16"/>
  <c r="W22" i="16"/>
  <c r="X22" i="16"/>
  <c r="Y22" i="16"/>
  <c r="Z22" i="16"/>
  <c r="AB22" i="16"/>
  <c r="AC22" i="16"/>
  <c r="AD22" i="16"/>
  <c r="AE22" i="16"/>
  <c r="AF22" i="16"/>
  <c r="AG22" i="16"/>
  <c r="AI22" i="16" a="1"/>
  <c r="AI22" i="16" s="1"/>
  <c r="AJ22" i="16" a="1"/>
  <c r="AJ22" i="16" s="1"/>
  <c r="AK22" i="16" a="1"/>
  <c r="AK22" i="16" s="1"/>
  <c r="AL22" i="16" a="1"/>
  <c r="AL22" i="16" s="1"/>
  <c r="AN22" i="16"/>
  <c r="B23" i="16"/>
  <c r="T23" i="16"/>
  <c r="U23" i="16"/>
  <c r="V23" i="16"/>
  <c r="W23" i="16"/>
  <c r="X23" i="16"/>
  <c r="Y23" i="16"/>
  <c r="Z23" i="16"/>
  <c r="AB23" i="16"/>
  <c r="AC23" i="16"/>
  <c r="AD23" i="16"/>
  <c r="AE23" i="16"/>
  <c r="AF23" i="16"/>
  <c r="AG23" i="16"/>
  <c r="AI23" i="16" a="1"/>
  <c r="AI23" i="16" s="1"/>
  <c r="AJ23" i="16" a="1"/>
  <c r="AJ23" i="16" s="1"/>
  <c r="AK23" i="16" a="1"/>
  <c r="AK23" i="16" s="1"/>
  <c r="AL23" i="16" a="1"/>
  <c r="AL23" i="16" s="1"/>
  <c r="AN23" i="16"/>
  <c r="B24" i="16"/>
  <c r="T24" i="16"/>
  <c r="U24" i="16"/>
  <c r="V24" i="16"/>
  <c r="W24" i="16"/>
  <c r="X24" i="16"/>
  <c r="Y24" i="16"/>
  <c r="Z24" i="16"/>
  <c r="AB24" i="16"/>
  <c r="AC24" i="16"/>
  <c r="AD24" i="16"/>
  <c r="AE24" i="16"/>
  <c r="AF24" i="16"/>
  <c r="AG24" i="16"/>
  <c r="AI24" i="16" a="1"/>
  <c r="AI24" i="16" s="1"/>
  <c r="AJ24" i="16" a="1"/>
  <c r="AJ24" i="16" s="1"/>
  <c r="AK24" i="16" a="1"/>
  <c r="AK24" i="16" s="1"/>
  <c r="AL24" i="16" a="1"/>
  <c r="AL24" i="16" s="1"/>
  <c r="AN24" i="16"/>
  <c r="B25" i="16"/>
  <c r="T25" i="16"/>
  <c r="U25" i="16"/>
  <c r="V25" i="16"/>
  <c r="W25" i="16"/>
  <c r="X25" i="16"/>
  <c r="Y25" i="16"/>
  <c r="Z25" i="16"/>
  <c r="AB25" i="16"/>
  <c r="AC25" i="16"/>
  <c r="AD25" i="16"/>
  <c r="AE25" i="16"/>
  <c r="AF25" i="16"/>
  <c r="AG25" i="16"/>
  <c r="AI25" i="16" a="1"/>
  <c r="AI25" i="16" s="1"/>
  <c r="AJ25" i="16" a="1"/>
  <c r="AJ25" i="16" s="1"/>
  <c r="AK25" i="16" a="1"/>
  <c r="AK25" i="16" s="1"/>
  <c r="AL25" i="16" a="1"/>
  <c r="AL25" i="16" s="1"/>
  <c r="AN25" i="16"/>
  <c r="B26" i="16"/>
  <c r="T26" i="16"/>
  <c r="U26" i="16"/>
  <c r="V26" i="16"/>
  <c r="W26" i="16"/>
  <c r="X26" i="16"/>
  <c r="Y26" i="16"/>
  <c r="Z26" i="16"/>
  <c r="AB26" i="16"/>
  <c r="AC26" i="16"/>
  <c r="AD26" i="16"/>
  <c r="AE26" i="16"/>
  <c r="AF26" i="16"/>
  <c r="AG26" i="16"/>
  <c r="AI26" i="16" a="1"/>
  <c r="AI26" i="16" s="1"/>
  <c r="AJ26" i="16" a="1"/>
  <c r="AJ26" i="16" s="1"/>
  <c r="AK26" i="16" a="1"/>
  <c r="AK26" i="16" s="1"/>
  <c r="AL26" i="16" a="1"/>
  <c r="AL26" i="16" s="1"/>
  <c r="AN26" i="16"/>
  <c r="B27" i="16"/>
  <c r="T27" i="16"/>
  <c r="U27" i="16"/>
  <c r="V27" i="16"/>
  <c r="W27" i="16"/>
  <c r="X27" i="16"/>
  <c r="Y27" i="16"/>
  <c r="Z27" i="16"/>
  <c r="AB27" i="16"/>
  <c r="AC27" i="16"/>
  <c r="AD27" i="16"/>
  <c r="AE27" i="16"/>
  <c r="AF27" i="16"/>
  <c r="AG27" i="16"/>
  <c r="AI27" i="16" a="1"/>
  <c r="AI27" i="16" s="1"/>
  <c r="AJ27" i="16" a="1"/>
  <c r="AJ27" i="16" s="1"/>
  <c r="AK27" i="16" a="1"/>
  <c r="AK27" i="16" s="1"/>
  <c r="AL27" i="16" a="1"/>
  <c r="AL27" i="16" s="1"/>
  <c r="AN27" i="16"/>
  <c r="B28" i="16"/>
  <c r="T28" i="16"/>
  <c r="U28" i="16"/>
  <c r="V28" i="16"/>
  <c r="W28" i="16"/>
  <c r="X28" i="16"/>
  <c r="Y28" i="16"/>
  <c r="Z28" i="16"/>
  <c r="AB28" i="16"/>
  <c r="AC28" i="16"/>
  <c r="AD28" i="16"/>
  <c r="AE28" i="16"/>
  <c r="AF28" i="16"/>
  <c r="AG28" i="16"/>
  <c r="AI28" i="16" a="1"/>
  <c r="AI28" i="16" s="1"/>
  <c r="AJ28" i="16" a="1"/>
  <c r="AJ28" i="16" s="1"/>
  <c r="AK28" i="16" a="1"/>
  <c r="AK28" i="16" s="1"/>
  <c r="AL28" i="16" a="1"/>
  <c r="AL28" i="16" s="1"/>
  <c r="AN28" i="16"/>
  <c r="B29" i="16"/>
  <c r="T29" i="16"/>
  <c r="U29" i="16"/>
  <c r="V29" i="16"/>
  <c r="W29" i="16"/>
  <c r="X29" i="16"/>
  <c r="Y29" i="16"/>
  <c r="Z29" i="16"/>
  <c r="AA29" i="16"/>
  <c r="AB29" i="16"/>
  <c r="AC29" i="16"/>
  <c r="AD29" i="16"/>
  <c r="AE29" i="16"/>
  <c r="AF29" i="16"/>
  <c r="AG29" i="16"/>
  <c r="AH29" i="16"/>
  <c r="AJ29" i="16" a="1"/>
  <c r="AJ29" i="16" s="1"/>
  <c r="AK29" i="16" a="1"/>
  <c r="AK29" i="16" s="1"/>
  <c r="AL29" i="16" a="1"/>
  <c r="AL29" i="16" s="1"/>
  <c r="AM29" i="16" a="1"/>
  <c r="AM29" i="16" s="1"/>
  <c r="AN29" i="16"/>
  <c r="B30" i="16"/>
  <c r="T30" i="16"/>
  <c r="U30" i="16"/>
  <c r="V30" i="16"/>
  <c r="W30" i="16"/>
  <c r="X30" i="16"/>
  <c r="Y30" i="16"/>
  <c r="Z30" i="16"/>
  <c r="AB30" i="16"/>
  <c r="AC30" i="16"/>
  <c r="AD30" i="16"/>
  <c r="AE30" i="16"/>
  <c r="AF30" i="16"/>
  <c r="AG30" i="16"/>
  <c r="AI30" i="16" a="1"/>
  <c r="AI30" i="16" s="1"/>
  <c r="AJ30" i="16" a="1"/>
  <c r="AJ30" i="16" s="1"/>
  <c r="AK30" i="16" a="1"/>
  <c r="AK30" i="16" s="1"/>
  <c r="AL30" i="16" a="1"/>
  <c r="AL30" i="16" s="1"/>
  <c r="AN30" i="16"/>
  <c r="B31" i="16"/>
  <c r="T31" i="16"/>
  <c r="U31" i="16"/>
  <c r="V31" i="16"/>
  <c r="W31" i="16"/>
  <c r="X31" i="16"/>
  <c r="Y31" i="16"/>
  <c r="Z31" i="16"/>
  <c r="AB31" i="16"/>
  <c r="AC31" i="16"/>
  <c r="AD31" i="16"/>
  <c r="AE31" i="16"/>
  <c r="AF31" i="16"/>
  <c r="AG31" i="16"/>
  <c r="AI31" i="16" a="1"/>
  <c r="AI31" i="16" s="1"/>
  <c r="AJ31" i="16" a="1"/>
  <c r="AJ31" i="16" s="1"/>
  <c r="AK31" i="16" a="1"/>
  <c r="AK31" i="16" s="1"/>
  <c r="AL31" i="16" a="1"/>
  <c r="AL31" i="16" s="1"/>
  <c r="AN31" i="16"/>
  <c r="B32" i="16"/>
  <c r="T32" i="16"/>
  <c r="U32" i="16"/>
  <c r="V32" i="16"/>
  <c r="W32" i="16"/>
  <c r="X32" i="16"/>
  <c r="Y32" i="16"/>
  <c r="Z32" i="16"/>
  <c r="AB32" i="16"/>
  <c r="AC32" i="16"/>
  <c r="AD32" i="16"/>
  <c r="AE32" i="16"/>
  <c r="AF32" i="16"/>
  <c r="AG32" i="16"/>
  <c r="AI32" i="16" a="1"/>
  <c r="AI32" i="16" s="1"/>
  <c r="AJ32" i="16" a="1"/>
  <c r="AJ32" i="16" s="1"/>
  <c r="AK32" i="16" a="1"/>
  <c r="AK32" i="16" s="1"/>
  <c r="AL32" i="16" a="1"/>
  <c r="AL32" i="16" s="1"/>
  <c r="AN32" i="16"/>
  <c r="B33" i="16"/>
  <c r="T33" i="16"/>
  <c r="U33" i="16"/>
  <c r="V33" i="16"/>
  <c r="W33" i="16"/>
  <c r="X33" i="16"/>
  <c r="Y33" i="16"/>
  <c r="Z33" i="16"/>
  <c r="AB33" i="16"/>
  <c r="AC33" i="16"/>
  <c r="AD33" i="16"/>
  <c r="AE33" i="16"/>
  <c r="AF33" i="16"/>
  <c r="AG33" i="16"/>
  <c r="AI33" i="16" a="1"/>
  <c r="AI33" i="16" s="1"/>
  <c r="AJ33" i="16" a="1"/>
  <c r="AJ33" i="16" s="1"/>
  <c r="AK33" i="16" a="1"/>
  <c r="AK33" i="16" s="1"/>
  <c r="AL33" i="16" a="1"/>
  <c r="AL33" i="16" s="1"/>
  <c r="AN33" i="16"/>
  <c r="B34" i="16"/>
  <c r="T34" i="16"/>
  <c r="U34" i="16"/>
  <c r="V34" i="16"/>
  <c r="W34" i="16"/>
  <c r="X34" i="16"/>
  <c r="Y34" i="16"/>
  <c r="Z34" i="16"/>
  <c r="AB34" i="16"/>
  <c r="AC34" i="16"/>
  <c r="AD34" i="16"/>
  <c r="AE34" i="16"/>
  <c r="AF34" i="16"/>
  <c r="AG34" i="16"/>
  <c r="AI34" i="16" a="1"/>
  <c r="AI34" i="16" s="1"/>
  <c r="AJ34" i="16" a="1"/>
  <c r="AJ34" i="16" s="1"/>
  <c r="AK34" i="16" a="1"/>
  <c r="AK34" i="16" s="1"/>
  <c r="AL34" i="16" a="1"/>
  <c r="AL34" i="16" s="1"/>
  <c r="AN34" i="16"/>
  <c r="B35" i="16"/>
  <c r="T35" i="16"/>
  <c r="U35" i="16"/>
  <c r="V35" i="16"/>
  <c r="W35" i="16"/>
  <c r="X35" i="16"/>
  <c r="Y35" i="16"/>
  <c r="Z35" i="16"/>
  <c r="AB35" i="16"/>
  <c r="AC35" i="16"/>
  <c r="AD35" i="16"/>
  <c r="AE35" i="16"/>
  <c r="AF35" i="16"/>
  <c r="AG35" i="16"/>
  <c r="AI35" i="16" a="1"/>
  <c r="AI35" i="16" s="1"/>
  <c r="AJ35" i="16" a="1"/>
  <c r="AJ35" i="16" s="1"/>
  <c r="AK35" i="16" a="1"/>
  <c r="AK35" i="16" s="1"/>
  <c r="AL35" i="16" a="1"/>
  <c r="AL35" i="16" s="1"/>
  <c r="AN35" i="16"/>
  <c r="B36" i="16"/>
  <c r="T36" i="16"/>
  <c r="U36" i="16"/>
  <c r="V36" i="16"/>
  <c r="W36" i="16"/>
  <c r="X36" i="16"/>
  <c r="Y36" i="16"/>
  <c r="Z36" i="16"/>
  <c r="AB36" i="16"/>
  <c r="AC36" i="16"/>
  <c r="AD36" i="16"/>
  <c r="AE36" i="16"/>
  <c r="AF36" i="16"/>
  <c r="AG36" i="16"/>
  <c r="AI36" i="16" a="1"/>
  <c r="AI36" i="16" s="1"/>
  <c r="AJ36" i="16" a="1"/>
  <c r="AJ36" i="16" s="1"/>
  <c r="AK36" i="16" a="1"/>
  <c r="AK36" i="16" s="1"/>
  <c r="AL36" i="16" a="1"/>
  <c r="AL36" i="16" s="1"/>
  <c r="AN36" i="16"/>
  <c r="B37" i="16"/>
  <c r="T37" i="16"/>
  <c r="U37" i="16"/>
  <c r="V37" i="16"/>
  <c r="W37" i="16"/>
  <c r="X37" i="16"/>
  <c r="Y37" i="16"/>
  <c r="Z37" i="16"/>
  <c r="AB37" i="16"/>
  <c r="AC37" i="16"/>
  <c r="AD37" i="16"/>
  <c r="AE37" i="16"/>
  <c r="AF37" i="16"/>
  <c r="AG37" i="16"/>
  <c r="AI37" i="16" a="1"/>
  <c r="AI37" i="16" s="1"/>
  <c r="AJ37" i="16" a="1"/>
  <c r="AJ37" i="16" s="1"/>
  <c r="AK37" i="16" a="1"/>
  <c r="AK37" i="16" s="1"/>
  <c r="AL37" i="16" a="1"/>
  <c r="AL37" i="16" s="1"/>
  <c r="AN37" i="16"/>
  <c r="B38" i="16"/>
  <c r="T38" i="16"/>
  <c r="U38" i="16"/>
  <c r="V38" i="16"/>
  <c r="W38" i="16"/>
  <c r="X38" i="16"/>
  <c r="Y38" i="16"/>
  <c r="Z38" i="16"/>
  <c r="AB38" i="16"/>
  <c r="AC38" i="16"/>
  <c r="AD38" i="16"/>
  <c r="AE38" i="16"/>
  <c r="AF38" i="16"/>
  <c r="AG38" i="16"/>
  <c r="AI38" i="16" a="1"/>
  <c r="AI38" i="16" s="1"/>
  <c r="AJ38" i="16" a="1"/>
  <c r="AJ38" i="16" s="1"/>
  <c r="AK38" i="16" a="1"/>
  <c r="AK38" i="16" s="1"/>
  <c r="AL38" i="16" a="1"/>
  <c r="AL38" i="16" s="1"/>
  <c r="AN38" i="16"/>
  <c r="B39" i="16"/>
  <c r="T39" i="16"/>
  <c r="U39" i="16"/>
  <c r="V39" i="16"/>
  <c r="W39" i="16"/>
  <c r="X39" i="16"/>
  <c r="Y39" i="16"/>
  <c r="Z39" i="16"/>
  <c r="AB39" i="16"/>
  <c r="AC39" i="16"/>
  <c r="AD39" i="16"/>
  <c r="AE39" i="16"/>
  <c r="AF39" i="16"/>
  <c r="AG39" i="16"/>
  <c r="AI39" i="16" a="1"/>
  <c r="AI39" i="16" s="1"/>
  <c r="AJ39" i="16" a="1"/>
  <c r="AJ39" i="16" s="1"/>
  <c r="AK39" i="16" a="1"/>
  <c r="AK39" i="16" s="1"/>
  <c r="AL39" i="16" a="1"/>
  <c r="AL39" i="16" s="1"/>
  <c r="AN39" i="16"/>
  <c r="B40" i="16"/>
  <c r="T40" i="16"/>
  <c r="U40" i="16"/>
  <c r="V40" i="16"/>
  <c r="W40" i="16"/>
  <c r="X40" i="16"/>
  <c r="Y40" i="16"/>
  <c r="AB40" i="16"/>
  <c r="AN40" i="16"/>
  <c r="B41" i="16"/>
  <c r="T41" i="16"/>
  <c r="U41" i="16"/>
  <c r="V41" i="16"/>
  <c r="W41" i="16"/>
  <c r="X41" i="16"/>
  <c r="Y41" i="16"/>
  <c r="AB41" i="16"/>
  <c r="AN41" i="16"/>
  <c r="B42" i="16"/>
  <c r="T42" i="16"/>
  <c r="U42" i="16"/>
  <c r="V42" i="16"/>
  <c r="W42" i="16"/>
  <c r="X42" i="16"/>
  <c r="Y42" i="16"/>
  <c r="AB42" i="16"/>
  <c r="AN42" i="16"/>
  <c r="G9" i="11"/>
  <c r="H9" i="11"/>
  <c r="I9" i="11"/>
  <c r="J9" i="11"/>
  <c r="K9" i="11"/>
  <c r="L9" i="11"/>
  <c r="M9" i="11"/>
  <c r="N9" i="11"/>
  <c r="G12" i="11"/>
  <c r="H12" i="11"/>
  <c r="I12" i="11"/>
  <c r="J12" i="11"/>
  <c r="K12" i="11"/>
  <c r="L12" i="11"/>
  <c r="M12" i="11"/>
  <c r="N12" i="11"/>
  <c r="G23" i="11"/>
  <c r="H23" i="11"/>
  <c r="I23" i="11"/>
  <c r="J23" i="11"/>
  <c r="K23" i="11"/>
  <c r="L23" i="11"/>
  <c r="M23" i="11"/>
  <c r="N23" i="11"/>
  <c r="G25" i="11"/>
  <c r="H25" i="11"/>
  <c r="I25" i="11"/>
  <c r="J25" i="11"/>
  <c r="K25" i="11"/>
  <c r="L25" i="11"/>
  <c r="M25" i="11"/>
  <c r="N25" i="11"/>
  <c r="F9" i="11"/>
  <c r="F12" i="11"/>
  <c r="F23" i="11"/>
  <c r="F25" i="11"/>
  <c r="E9" i="11"/>
  <c r="E12" i="11"/>
  <c r="E23" i="11"/>
  <c r="E25" i="11"/>
  <c r="D9" i="11"/>
  <c r="D12" i="11"/>
  <c r="D23" i="11"/>
  <c r="D25" i="11"/>
  <c r="C9" i="11"/>
  <c r="C12" i="11"/>
  <c r="C23" i="11"/>
  <c r="C25" i="11"/>
  <c r="C56" i="6"/>
  <c r="C57" i="6"/>
  <c r="C58" i="6"/>
  <c r="C59" i="6"/>
  <c r="D56" i="6"/>
  <c r="D57" i="6"/>
  <c r="D58" i="6"/>
  <c r="D59" i="6"/>
  <c r="U56" i="6"/>
  <c r="U57" i="6"/>
  <c r="U58" i="6"/>
  <c r="U59" i="6"/>
  <c r="V56" i="6"/>
  <c r="V57" i="6"/>
  <c r="V58" i="6"/>
  <c r="V59" i="6"/>
  <c r="W56" i="6"/>
  <c r="W57" i="6"/>
  <c r="W58" i="6"/>
  <c r="W59" i="6"/>
  <c r="X56" i="6"/>
  <c r="X57" i="6"/>
  <c r="X58" i="6"/>
  <c r="X59" i="6"/>
  <c r="Y56" i="6"/>
  <c r="Y57" i="6"/>
  <c r="Y58" i="6"/>
  <c r="Y59" i="6"/>
  <c r="Z56" i="6"/>
  <c r="Z57" i="6"/>
  <c r="Z58" i="6"/>
  <c r="Z59" i="6"/>
  <c r="AA56" i="6"/>
  <c r="AA57" i="6"/>
  <c r="AA58" i="6"/>
  <c r="AA59" i="6"/>
  <c r="AC56" i="6"/>
  <c r="AC57" i="6"/>
  <c r="AC58" i="6"/>
  <c r="AC59" i="6"/>
  <c r="AD56" i="6"/>
  <c r="AD57" i="6"/>
  <c r="AD58" i="6"/>
  <c r="AD59" i="6"/>
  <c r="AE56" i="6"/>
  <c r="AE57" i="6"/>
  <c r="AE58" i="6"/>
  <c r="AE59" i="6"/>
  <c r="AF56" i="6"/>
  <c r="AF57" i="6"/>
  <c r="AF58" i="6"/>
  <c r="AF59" i="6"/>
  <c r="AG56" i="6"/>
  <c r="AG57" i="6"/>
  <c r="AG58" i="6"/>
  <c r="AG59" i="6"/>
  <c r="AH56" i="6"/>
  <c r="AH57" i="6"/>
  <c r="AH58" i="6"/>
  <c r="AH59" i="6"/>
  <c r="AJ56" i="6" a="1"/>
  <c r="AJ56" i="6" s="1"/>
  <c r="AJ57" i="6" a="1"/>
  <c r="AJ57" i="6" s="1"/>
  <c r="AJ58" i="6" a="1"/>
  <c r="AJ58" i="6" s="1"/>
  <c r="AJ59" i="6" a="1"/>
  <c r="AJ59" i="6" s="1"/>
  <c r="AK56" i="6" a="1"/>
  <c r="AK56" i="6" s="1"/>
  <c r="AK57" i="6" a="1"/>
  <c r="AK57" i="6" s="1"/>
  <c r="AK58" i="6" a="1"/>
  <c r="AK58" i="6" s="1"/>
  <c r="AK59" i="6" a="1"/>
  <c r="AK59" i="6" s="1"/>
  <c r="AL56" i="6" a="1"/>
  <c r="AL56" i="6" s="1"/>
  <c r="AL57" i="6" a="1"/>
  <c r="AL57" i="6" s="1"/>
  <c r="AL58" i="6" a="1"/>
  <c r="AL58" i="6" s="1"/>
  <c r="AL59" i="6" a="1"/>
  <c r="AL59" i="6" s="1"/>
  <c r="AM56" i="6" a="1"/>
  <c r="AM56" i="6" s="1"/>
  <c r="AM57" i="6" a="1"/>
  <c r="AM57" i="6" s="1"/>
  <c r="AM58" i="6" a="1"/>
  <c r="AM58" i="6" s="1"/>
  <c r="AM59" i="6" a="1"/>
  <c r="AM59" i="6" s="1"/>
  <c r="C47" i="6"/>
  <c r="D47" i="6"/>
  <c r="F47" i="6"/>
  <c r="G47" i="6"/>
  <c r="U47" i="6"/>
  <c r="V47" i="6"/>
  <c r="W47" i="6"/>
  <c r="X47" i="6"/>
  <c r="Y47" i="6"/>
  <c r="Z47" i="6"/>
  <c r="AA47" i="6"/>
  <c r="AC47" i="6"/>
  <c r="AD47" i="6"/>
  <c r="AE47" i="6"/>
  <c r="AF47" i="6"/>
  <c r="AG47" i="6"/>
  <c r="AH47" i="6"/>
  <c r="AJ47" i="6" a="1"/>
  <c r="AJ47" i="6" s="1"/>
  <c r="AK47" i="6" a="1"/>
  <c r="AK47" i="6" s="1"/>
  <c r="AL47" i="6" a="1"/>
  <c r="AL47" i="6" s="1"/>
  <c r="AM47" i="6" a="1"/>
  <c r="AM47" i="6" s="1"/>
  <c r="F54" i="6"/>
  <c r="F55" i="6" s="1"/>
  <c r="F56" i="6" s="1"/>
  <c r="F53" i="6"/>
  <c r="F52" i="6"/>
  <c r="F51" i="6"/>
  <c r="F50" i="6"/>
  <c r="F49" i="6"/>
  <c r="F48" i="6"/>
  <c r="F46" i="6"/>
  <c r="C55" i="6"/>
  <c r="D55" i="6"/>
  <c r="U55" i="6"/>
  <c r="V55" i="6"/>
  <c r="W55" i="6"/>
  <c r="X55" i="6"/>
  <c r="Y55" i="6"/>
  <c r="Z55" i="6"/>
  <c r="AA55" i="6"/>
  <c r="AC55" i="6"/>
  <c r="AD55" i="6"/>
  <c r="AE55" i="6"/>
  <c r="AF55" i="6"/>
  <c r="AG55" i="6"/>
  <c r="AH55" i="6"/>
  <c r="AJ55" i="6" a="1"/>
  <c r="AJ55" i="6" s="1"/>
  <c r="AK55" i="6" a="1"/>
  <c r="AK55" i="6" s="1"/>
  <c r="AL55" i="6" a="1"/>
  <c r="AL55" i="6" s="1"/>
  <c r="AM55" i="6" a="1"/>
  <c r="AM55" i="6" s="1"/>
  <c r="G7" i="8" l="1"/>
  <c r="F7" i="8"/>
  <c r="AI60" i="6"/>
  <c r="AI57" i="6"/>
  <c r="AI56" i="6"/>
  <c r="AI59" i="6"/>
  <c r="AI55" i="6"/>
  <c r="AI58" i="6"/>
  <c r="AN60" i="6"/>
  <c r="D21" i="16"/>
  <c r="AM19" i="16"/>
  <c r="AM16" i="16"/>
  <c r="AM12" i="16"/>
  <c r="AM8" i="16"/>
  <c r="AM4" i="16"/>
  <c r="AH26" i="16"/>
  <c r="AH23" i="16"/>
  <c r="AM22" i="16"/>
  <c r="AM23" i="16"/>
  <c r="AM7" i="16"/>
  <c r="AH25" i="16"/>
  <c r="AM18" i="16"/>
  <c r="AH28" i="16"/>
  <c r="AH24" i="16"/>
  <c r="AH27" i="16"/>
  <c r="AM25" i="16"/>
  <c r="AM15" i="16"/>
  <c r="AM11" i="16"/>
  <c r="AH22" i="16"/>
  <c r="AI20" i="16"/>
  <c r="AM14" i="16"/>
  <c r="AM10" i="16"/>
  <c r="AM6" i="16"/>
  <c r="AM3" i="16"/>
  <c r="AH30" i="16"/>
  <c r="AM17" i="16"/>
  <c r="AM13" i="16"/>
  <c r="AM9" i="16"/>
  <c r="AM5" i="16"/>
  <c r="AH19" i="16"/>
  <c r="AH17" i="16"/>
  <c r="AH15" i="16"/>
  <c r="AH13" i="16"/>
  <c r="AH11" i="16"/>
  <c r="AH9" i="16"/>
  <c r="AH7" i="16"/>
  <c r="AH5" i="16"/>
  <c r="AH3" i="16"/>
  <c r="AH2" i="16"/>
  <c r="AH39" i="16"/>
  <c r="AH38" i="16"/>
  <c r="AH37" i="16"/>
  <c r="AH36" i="16"/>
  <c r="AH35" i="16"/>
  <c r="AH34" i="16"/>
  <c r="AH33" i="16"/>
  <c r="AH32" i="16"/>
  <c r="AI29" i="16"/>
  <c r="AM28" i="16"/>
  <c r="AM24" i="16"/>
  <c r="AH31" i="16"/>
  <c r="AM27" i="16"/>
  <c r="AI21" i="16"/>
  <c r="AH18" i="16"/>
  <c r="AH16" i="16"/>
  <c r="AH14" i="16"/>
  <c r="AH12" i="16"/>
  <c r="AH10" i="16"/>
  <c r="AH8" i="16"/>
  <c r="AH6" i="16"/>
  <c r="AH4" i="16"/>
  <c r="AM31" i="16"/>
  <c r="AM39" i="16"/>
  <c r="AM33" i="16"/>
  <c r="AM38" i="16"/>
  <c r="AM37" i="16"/>
  <c r="AM36" i="16"/>
  <c r="AM35" i="16"/>
  <c r="AM34" i="16"/>
  <c r="AM32" i="16"/>
  <c r="AM30" i="16"/>
  <c r="AM26" i="16"/>
  <c r="AM2" i="16"/>
  <c r="AN59" i="6"/>
  <c r="AN57" i="6"/>
  <c r="AN58" i="6"/>
  <c r="G56" i="6"/>
  <c r="F57" i="6"/>
  <c r="AN56" i="6"/>
  <c r="AN47" i="6"/>
  <c r="AN55" i="6"/>
  <c r="G48" i="6"/>
  <c r="G55" i="6"/>
  <c r="G46" i="6"/>
  <c r="G49" i="6"/>
  <c r="G50" i="6"/>
  <c r="G51" i="6"/>
  <c r="G52" i="6"/>
  <c r="G53" i="6"/>
  <c r="G54" i="6"/>
  <c r="C48" i="6"/>
  <c r="C49" i="6"/>
  <c r="C50" i="6"/>
  <c r="C51" i="6"/>
  <c r="C52" i="6"/>
  <c r="C53" i="6"/>
  <c r="C54" i="6"/>
  <c r="D48" i="6"/>
  <c r="D49" i="6"/>
  <c r="D50" i="6"/>
  <c r="D51" i="6"/>
  <c r="D52" i="6"/>
  <c r="D53" i="6"/>
  <c r="D54" i="6"/>
  <c r="U48" i="6"/>
  <c r="U49" i="6"/>
  <c r="U50" i="6"/>
  <c r="U51" i="6"/>
  <c r="U52" i="6"/>
  <c r="U53" i="6"/>
  <c r="U54" i="6"/>
  <c r="V48" i="6"/>
  <c r="V49" i="6"/>
  <c r="V50" i="6"/>
  <c r="V51" i="6"/>
  <c r="V52" i="6"/>
  <c r="V53" i="6"/>
  <c r="V54" i="6"/>
  <c r="W48" i="6"/>
  <c r="W49" i="6"/>
  <c r="W50" i="6"/>
  <c r="W51" i="6"/>
  <c r="W52" i="6"/>
  <c r="W53" i="6"/>
  <c r="W54" i="6"/>
  <c r="X48" i="6"/>
  <c r="X49" i="6"/>
  <c r="X50" i="6"/>
  <c r="X51" i="6"/>
  <c r="X52" i="6"/>
  <c r="X53" i="6"/>
  <c r="X54" i="6"/>
  <c r="Y48" i="6"/>
  <c r="Y49" i="6"/>
  <c r="Y50" i="6"/>
  <c r="Y51" i="6"/>
  <c r="Y52" i="6"/>
  <c r="Y53" i="6"/>
  <c r="Y54" i="6"/>
  <c r="Z48" i="6"/>
  <c r="Z49" i="6"/>
  <c r="Z50" i="6"/>
  <c r="Z51" i="6"/>
  <c r="Z52" i="6"/>
  <c r="Z53" i="6"/>
  <c r="Z54" i="6"/>
  <c r="AA48" i="6"/>
  <c r="AA49" i="6"/>
  <c r="AA50" i="6"/>
  <c r="AA51" i="6"/>
  <c r="AA52" i="6"/>
  <c r="AA53" i="6"/>
  <c r="AA54" i="6"/>
  <c r="AC48" i="6"/>
  <c r="AC49" i="6"/>
  <c r="AC50" i="6"/>
  <c r="AC51" i="6"/>
  <c r="AC52" i="6"/>
  <c r="AC53" i="6"/>
  <c r="AC54" i="6"/>
  <c r="AD48" i="6"/>
  <c r="AD49" i="6"/>
  <c r="AD50" i="6"/>
  <c r="AD51" i="6"/>
  <c r="AD52" i="6"/>
  <c r="AD53" i="6"/>
  <c r="AD54" i="6"/>
  <c r="AE48" i="6"/>
  <c r="AE49" i="6"/>
  <c r="AE50" i="6"/>
  <c r="AE51" i="6"/>
  <c r="AE52" i="6"/>
  <c r="AE53" i="6"/>
  <c r="AE54" i="6"/>
  <c r="AF48" i="6"/>
  <c r="AF49" i="6"/>
  <c r="AF50" i="6"/>
  <c r="AF51" i="6"/>
  <c r="AF52" i="6"/>
  <c r="AF53" i="6"/>
  <c r="AF54" i="6"/>
  <c r="AG48" i="6"/>
  <c r="AG49" i="6"/>
  <c r="AG50" i="6"/>
  <c r="AG51" i="6"/>
  <c r="AG52" i="6"/>
  <c r="AG53" i="6"/>
  <c r="AG54" i="6"/>
  <c r="AH48" i="6"/>
  <c r="AH49" i="6"/>
  <c r="AH50" i="6"/>
  <c r="AH51" i="6"/>
  <c r="AH52" i="6"/>
  <c r="AH53" i="6"/>
  <c r="AH54" i="6"/>
  <c r="AJ48" i="6" a="1"/>
  <c r="AJ48" i="6" s="1"/>
  <c r="AJ49" i="6" a="1"/>
  <c r="AJ49" i="6" s="1"/>
  <c r="AJ50" i="6" a="1"/>
  <c r="AJ50" i="6" s="1"/>
  <c r="AJ51" i="6" a="1"/>
  <c r="AJ51" i="6" s="1"/>
  <c r="AJ52" i="6" a="1"/>
  <c r="AJ52" i="6" s="1"/>
  <c r="AJ53" i="6" a="1"/>
  <c r="AJ53" i="6" s="1"/>
  <c r="AJ54" i="6" a="1"/>
  <c r="AJ54" i="6" s="1"/>
  <c r="AK48" i="6" a="1"/>
  <c r="AK48" i="6" s="1"/>
  <c r="AK49" i="6" a="1"/>
  <c r="AK49" i="6" s="1"/>
  <c r="AK50" i="6" a="1"/>
  <c r="AK50" i="6" s="1"/>
  <c r="AK51" i="6" a="1"/>
  <c r="AK51" i="6" s="1"/>
  <c r="AK52" i="6" a="1"/>
  <c r="AK52" i="6" s="1"/>
  <c r="AK53" i="6" a="1"/>
  <c r="AK53" i="6" s="1"/>
  <c r="AK54" i="6" a="1"/>
  <c r="AK54" i="6" s="1"/>
  <c r="AL48" i="6" a="1"/>
  <c r="AL48" i="6" s="1"/>
  <c r="AL49" i="6" a="1"/>
  <c r="AL49" i="6" s="1"/>
  <c r="AL50" i="6" a="1"/>
  <c r="AL50" i="6" s="1"/>
  <c r="AL51" i="6" a="1"/>
  <c r="AL51" i="6" s="1"/>
  <c r="AL52" i="6" a="1"/>
  <c r="AL52" i="6" s="1"/>
  <c r="AL53" i="6" a="1"/>
  <c r="AL53" i="6" s="1"/>
  <c r="AL54" i="6" a="1"/>
  <c r="AL54" i="6" s="1"/>
  <c r="AM48" i="6" a="1"/>
  <c r="AM48" i="6" s="1"/>
  <c r="AM49" i="6" a="1"/>
  <c r="AM49" i="6" s="1"/>
  <c r="AM50" i="6" a="1"/>
  <c r="AM50" i="6" s="1"/>
  <c r="AM51" i="6" a="1"/>
  <c r="AM51" i="6" s="1"/>
  <c r="AM52" i="6" a="1"/>
  <c r="AM52" i="6" s="1"/>
  <c r="AM53" i="6" a="1"/>
  <c r="AM53" i="6" s="1"/>
  <c r="AM54" i="6" a="1"/>
  <c r="AM54" i="6" s="1"/>
  <c r="C46" i="6"/>
  <c r="D46" i="6"/>
  <c r="U46" i="6"/>
  <c r="V46" i="6"/>
  <c r="W46" i="6"/>
  <c r="X46" i="6"/>
  <c r="Y46" i="6"/>
  <c r="Z46" i="6"/>
  <c r="AA46" i="6"/>
  <c r="AC46" i="6"/>
  <c r="AD46" i="6"/>
  <c r="AE46" i="6"/>
  <c r="AF46" i="6"/>
  <c r="AG46" i="6"/>
  <c r="AH46" i="6"/>
  <c r="AJ46" i="6" a="1"/>
  <c r="AJ46" i="6" s="1"/>
  <c r="AK46" i="6" a="1"/>
  <c r="AK46" i="6" s="1"/>
  <c r="AL46" i="6" a="1"/>
  <c r="AL46" i="6" s="1"/>
  <c r="AM46" i="6" a="1"/>
  <c r="AM46" i="6" s="1"/>
  <c r="AM45" i="6" a="1"/>
  <c r="AM45" i="6" s="1"/>
  <c r="AL45" i="6" a="1"/>
  <c r="AL45" i="6" s="1"/>
  <c r="AK45" i="6" a="1"/>
  <c r="AK45" i="6" s="1"/>
  <c r="AJ45" i="6" a="1"/>
  <c r="AJ45" i="6" s="1"/>
  <c r="AH45" i="6"/>
  <c r="AG45" i="6"/>
  <c r="AF45" i="6"/>
  <c r="AE45" i="6"/>
  <c r="AD45" i="6"/>
  <c r="AC45" i="6"/>
  <c r="AA45" i="6"/>
  <c r="Z45" i="6"/>
  <c r="Y45" i="6"/>
  <c r="X45" i="6"/>
  <c r="W45" i="6"/>
  <c r="V45" i="6"/>
  <c r="U45" i="6"/>
  <c r="D45" i="6"/>
  <c r="C45" i="6"/>
  <c r="AI53" i="6" l="1"/>
  <c r="AI52" i="6"/>
  <c r="AI45" i="6"/>
  <c r="G11" i="11"/>
  <c r="H11" i="11"/>
  <c r="I11" i="11"/>
  <c r="J11" i="11"/>
  <c r="K11" i="11"/>
  <c r="L11" i="11"/>
  <c r="M11" i="11"/>
  <c r="N11" i="11"/>
  <c r="F11" i="11"/>
  <c r="E11" i="11"/>
  <c r="D11" i="11"/>
  <c r="C11" i="11"/>
  <c r="F21" i="16"/>
  <c r="D22" i="16"/>
  <c r="G57" i="6"/>
  <c r="F58" i="6"/>
  <c r="AN51" i="6"/>
  <c r="AN52" i="6"/>
  <c r="AN50" i="6"/>
  <c r="AN49" i="6"/>
  <c r="AN48" i="6"/>
  <c r="AN54" i="6"/>
  <c r="AN53" i="6"/>
  <c r="AN46" i="6"/>
  <c r="AN45" i="6"/>
  <c r="AM44" i="6" a="1"/>
  <c r="AM44" i="6" s="1"/>
  <c r="AL44" i="6" a="1"/>
  <c r="AL44" i="6" s="1"/>
  <c r="AK44" i="6" a="1"/>
  <c r="AK44" i="6" s="1"/>
  <c r="AJ44" i="6" a="1"/>
  <c r="AJ44" i="6" s="1"/>
  <c r="AH44" i="6"/>
  <c r="AG44" i="6"/>
  <c r="AF44" i="6"/>
  <c r="AE44" i="6"/>
  <c r="AD44" i="6"/>
  <c r="AC44" i="6"/>
  <c r="AA44" i="6"/>
  <c r="Z44" i="6"/>
  <c r="Y44" i="6"/>
  <c r="X44" i="6"/>
  <c r="W44" i="6"/>
  <c r="V44" i="6"/>
  <c r="U44" i="6"/>
  <c r="D44" i="6"/>
  <c r="C44" i="6"/>
  <c r="AI44" i="6" l="1"/>
  <c r="D23" i="16"/>
  <c r="F22" i="16"/>
  <c r="G58" i="6"/>
  <c r="F59" i="6"/>
  <c r="AN44" i="6"/>
  <c r="AM43" i="6" a="1"/>
  <c r="AM43" i="6" s="1"/>
  <c r="AL43" i="6" a="1"/>
  <c r="AL43" i="6" s="1"/>
  <c r="AK43" i="6" a="1"/>
  <c r="AK43" i="6" s="1"/>
  <c r="AJ43" i="6" a="1"/>
  <c r="AJ43" i="6" s="1"/>
  <c r="AH43" i="6"/>
  <c r="AG43" i="6"/>
  <c r="AF43" i="6"/>
  <c r="AE43" i="6"/>
  <c r="AD43" i="6"/>
  <c r="AC43" i="6"/>
  <c r="AA43" i="6"/>
  <c r="Z43" i="6"/>
  <c r="Y43" i="6"/>
  <c r="X43" i="6"/>
  <c r="W43" i="6"/>
  <c r="V43" i="6"/>
  <c r="U43" i="6"/>
  <c r="D43" i="6"/>
  <c r="C43" i="6"/>
  <c r="C3" i="5"/>
  <c r="G59" i="6" l="1"/>
  <c r="F60" i="6"/>
  <c r="F23" i="16"/>
  <c r="D24" i="16"/>
  <c r="AN43" i="6"/>
  <c r="G60" i="6" l="1"/>
  <c r="F61" i="6"/>
  <c r="F24" i="16"/>
  <c r="D25" i="16"/>
  <c r="C42" i="6"/>
  <c r="U42" i="6"/>
  <c r="V42" i="6"/>
  <c r="W42" i="6"/>
  <c r="X42" i="6"/>
  <c r="Y42" i="6"/>
  <c r="Z42" i="6"/>
  <c r="AA42" i="6"/>
  <c r="AC42" i="6"/>
  <c r="AD42" i="6"/>
  <c r="AE42" i="6"/>
  <c r="AF42" i="6"/>
  <c r="AG42" i="6"/>
  <c r="AH42" i="6"/>
  <c r="AJ42" i="6" a="1"/>
  <c r="AJ42" i="6" s="1"/>
  <c r="AK42" i="6" a="1"/>
  <c r="AK42" i="6" s="1"/>
  <c r="AL42" i="6" a="1"/>
  <c r="AL42" i="6" s="1"/>
  <c r="AM42" i="6" a="1"/>
  <c r="AM42" i="6" s="1"/>
  <c r="G2" i="6"/>
  <c r="G3" i="6"/>
  <c r="G4" i="6"/>
  <c r="G5" i="6"/>
  <c r="G7" i="6"/>
  <c r="G8" i="6"/>
  <c r="G9" i="6"/>
  <c r="G10" i="6"/>
  <c r="G11" i="6"/>
  <c r="G12" i="6"/>
  <c r="G13" i="6"/>
  <c r="G14" i="6"/>
  <c r="G61" i="6" l="1"/>
  <c r="F62" i="6"/>
  <c r="AI42" i="6"/>
  <c r="F25" i="16"/>
  <c r="D26" i="16"/>
  <c r="AN42" i="6"/>
  <c r="C12" i="6"/>
  <c r="U12" i="6"/>
  <c r="V12" i="6"/>
  <c r="W12" i="6"/>
  <c r="X12" i="6"/>
  <c r="Y12" i="6"/>
  <c r="Z12" i="6"/>
  <c r="AA12" i="6"/>
  <c r="AC12" i="6"/>
  <c r="AD12" i="6"/>
  <c r="AE12" i="6"/>
  <c r="AF12" i="6"/>
  <c r="AG12" i="6"/>
  <c r="AH12" i="6"/>
  <c r="AJ12" i="6" a="1"/>
  <c r="AJ12" i="6" s="1"/>
  <c r="AK12" i="6" a="1"/>
  <c r="AK12" i="6" s="1"/>
  <c r="AL12" i="6" a="1"/>
  <c r="AL12" i="6" s="1"/>
  <c r="AM12" i="6" a="1"/>
  <c r="AM12" i="6" s="1"/>
  <c r="G62" i="6" l="1"/>
  <c r="F63" i="6"/>
  <c r="F26" i="16"/>
  <c r="D27" i="16"/>
  <c r="AN12" i="6"/>
  <c r="C41" i="6"/>
  <c r="U41" i="6"/>
  <c r="V41" i="6"/>
  <c r="W41" i="6"/>
  <c r="X41" i="6"/>
  <c r="Y41" i="6"/>
  <c r="Z41" i="6"/>
  <c r="AA41" i="6"/>
  <c r="AC41" i="6"/>
  <c r="AD41" i="6"/>
  <c r="AE41" i="6"/>
  <c r="AF41" i="6"/>
  <c r="AG41" i="6"/>
  <c r="AH41" i="6"/>
  <c r="AJ41" i="6" a="1"/>
  <c r="AJ41" i="6" s="1"/>
  <c r="AK41" i="6" a="1"/>
  <c r="AK41" i="6" s="1"/>
  <c r="AL41" i="6" a="1"/>
  <c r="AL41" i="6" s="1"/>
  <c r="AM41" i="6" a="1"/>
  <c r="AM41" i="6" s="1"/>
  <c r="C40" i="6"/>
  <c r="U40" i="6"/>
  <c r="V40" i="6"/>
  <c r="W40" i="6"/>
  <c r="X40" i="6"/>
  <c r="Y40" i="6"/>
  <c r="Z40" i="6"/>
  <c r="AA40" i="6"/>
  <c r="AC40" i="6"/>
  <c r="AD40" i="6"/>
  <c r="AE40" i="6"/>
  <c r="AF40" i="6"/>
  <c r="AG40" i="6"/>
  <c r="AH40" i="6"/>
  <c r="AJ40" i="6" a="1"/>
  <c r="AJ40" i="6" s="1"/>
  <c r="AK40" i="6" a="1"/>
  <c r="AK40" i="6" s="1"/>
  <c r="AL40" i="6" a="1"/>
  <c r="AL40" i="6" s="1"/>
  <c r="AM40" i="6" a="1"/>
  <c r="AM40" i="6" s="1"/>
  <c r="C39" i="6"/>
  <c r="U39" i="6"/>
  <c r="V39" i="6"/>
  <c r="W39" i="6"/>
  <c r="X39" i="6"/>
  <c r="Y39" i="6"/>
  <c r="Z39" i="6"/>
  <c r="AA39" i="6"/>
  <c r="AC39" i="6"/>
  <c r="AD39" i="6"/>
  <c r="AE39" i="6"/>
  <c r="AF39" i="6"/>
  <c r="AG39" i="6"/>
  <c r="AH39" i="6"/>
  <c r="AJ39" i="6" a="1"/>
  <c r="AJ39" i="6" s="1"/>
  <c r="AK39" i="6" a="1"/>
  <c r="AK39" i="6" s="1"/>
  <c r="AL39" i="6" a="1"/>
  <c r="AL39" i="6" s="1"/>
  <c r="AM39" i="6" a="1"/>
  <c r="AM39" i="6" s="1"/>
  <c r="F2" i="6"/>
  <c r="F3" i="6"/>
  <c r="F4" i="6" s="1"/>
  <c r="F5" i="6" s="1"/>
  <c r="F6" i="6" s="1"/>
  <c r="G6" i="6" s="1"/>
  <c r="F14" i="6"/>
  <c r="F15" i="6"/>
  <c r="C36" i="6"/>
  <c r="D36" i="6"/>
  <c r="U36" i="6"/>
  <c r="V36" i="6"/>
  <c r="W36" i="6"/>
  <c r="X36" i="6"/>
  <c r="Y36" i="6"/>
  <c r="Z36" i="6"/>
  <c r="AA36" i="6"/>
  <c r="AC36" i="6"/>
  <c r="AD36" i="6"/>
  <c r="AE36" i="6"/>
  <c r="AF36" i="6"/>
  <c r="AG36" i="6"/>
  <c r="AH36" i="6"/>
  <c r="AJ36" i="6" a="1"/>
  <c r="AJ36" i="6" s="1"/>
  <c r="AK36" i="6" a="1"/>
  <c r="AK36" i="6" s="1"/>
  <c r="AL36" i="6" a="1"/>
  <c r="AL36" i="6" s="1"/>
  <c r="AM36" i="6" a="1"/>
  <c r="AM36" i="6" s="1"/>
  <c r="C37" i="6"/>
  <c r="D37" i="6"/>
  <c r="U37" i="6"/>
  <c r="V37" i="6"/>
  <c r="W37" i="6"/>
  <c r="X37" i="6"/>
  <c r="Y37" i="6"/>
  <c r="Z37" i="6"/>
  <c r="AA37" i="6"/>
  <c r="AC37" i="6"/>
  <c r="AD37" i="6"/>
  <c r="AE37" i="6"/>
  <c r="AF37" i="6"/>
  <c r="AG37" i="6"/>
  <c r="AH37" i="6"/>
  <c r="AJ37" i="6" a="1"/>
  <c r="AJ37" i="6" s="1"/>
  <c r="AK37" i="6" a="1"/>
  <c r="AK37" i="6" s="1"/>
  <c r="AL37" i="6" a="1"/>
  <c r="AL37" i="6" s="1"/>
  <c r="AM37" i="6" a="1"/>
  <c r="AM37" i="6" s="1"/>
  <c r="C14" i="6"/>
  <c r="U14" i="6"/>
  <c r="V14" i="6"/>
  <c r="W14" i="6"/>
  <c r="X14" i="6"/>
  <c r="Y14" i="6"/>
  <c r="Z14" i="6"/>
  <c r="AA14" i="6"/>
  <c r="AC14" i="6"/>
  <c r="AD14" i="6"/>
  <c r="AE14" i="6"/>
  <c r="AF14" i="6"/>
  <c r="AG14" i="6"/>
  <c r="AH14" i="6"/>
  <c r="AJ14" i="6" a="1"/>
  <c r="AJ14" i="6" s="1"/>
  <c r="AK14" i="6" a="1"/>
  <c r="AK14" i="6" s="1"/>
  <c r="AL14" i="6" a="1"/>
  <c r="AL14" i="6" s="1"/>
  <c r="AM14" i="6" a="1"/>
  <c r="AM14" i="6" s="1"/>
  <c r="D2" i="6"/>
  <c r="D3" i="6" s="1"/>
  <c r="D4" i="6" s="1"/>
  <c r="D5" i="6" s="1"/>
  <c r="D6" i="6" s="1"/>
  <c r="D7" i="6" s="1"/>
  <c r="D8" i="6" s="1"/>
  <c r="D9" i="6" s="1"/>
  <c r="D10" i="6" s="1"/>
  <c r="D11" i="6" s="1"/>
  <c r="D12" i="6" s="1"/>
  <c r="D13" i="6" s="1"/>
  <c r="D14" i="6" s="1"/>
  <c r="D15" i="6" s="1"/>
  <c r="D16" i="6" s="1"/>
  <c r="D17" i="6" s="1"/>
  <c r="D18" i="6" s="1"/>
  <c r="D19" i="6" s="1"/>
  <c r="D22" i="6"/>
  <c r="D23" i="6" s="1"/>
  <c r="D24" i="6" s="1"/>
  <c r="D20" i="6"/>
  <c r="D21" i="6" s="1"/>
  <c r="D26" i="6"/>
  <c r="D27" i="6"/>
  <c r="D28" i="6" s="1"/>
  <c r="D29" i="6" s="1"/>
  <c r="D25" i="6"/>
  <c r="D30" i="6"/>
  <c r="D31" i="6" s="1"/>
  <c r="D32" i="6"/>
  <c r="D33" i="6"/>
  <c r="D34" i="6" s="1"/>
  <c r="D35" i="6" s="1"/>
  <c r="D38" i="6"/>
  <c r="D39" i="6" s="1"/>
  <c r="D40" i="6" s="1"/>
  <c r="D41" i="6" s="1"/>
  <c r="D42" i="6" s="1"/>
  <c r="C23" i="6"/>
  <c r="F10" i="5"/>
  <c r="F13" i="5"/>
  <c r="F14" i="5"/>
  <c r="F16" i="5"/>
  <c r="F18" i="5"/>
  <c r="F19" i="5"/>
  <c r="F20" i="5"/>
  <c r="F21" i="5"/>
  <c r="F22" i="5"/>
  <c r="F25" i="5"/>
  <c r="F31" i="5"/>
  <c r="F34" i="5"/>
  <c r="F4" i="5"/>
  <c r="K3" i="5"/>
  <c r="M3" i="5"/>
  <c r="L3" i="5"/>
  <c r="J4" i="5" a="1"/>
  <c r="J4" i="5" s="1"/>
  <c r="D3" i="5"/>
  <c r="C38" i="6"/>
  <c r="U38" i="6"/>
  <c r="V38" i="6"/>
  <c r="W38" i="6"/>
  <c r="X38" i="6"/>
  <c r="Y38" i="6"/>
  <c r="Z38" i="6"/>
  <c r="AA38" i="6"/>
  <c r="AC38" i="6"/>
  <c r="AD38" i="6"/>
  <c r="AE38" i="6"/>
  <c r="AF38" i="6"/>
  <c r="AG38" i="6"/>
  <c r="AH38" i="6"/>
  <c r="AJ38" i="6" a="1"/>
  <c r="AJ38" i="6" s="1"/>
  <c r="AK38" i="6" a="1"/>
  <c r="AK38" i="6" s="1"/>
  <c r="AL38" i="6" a="1"/>
  <c r="AL38" i="6" s="1"/>
  <c r="AM38" i="6" a="1"/>
  <c r="AM38" i="6" s="1"/>
  <c r="C35" i="6"/>
  <c r="U35" i="6"/>
  <c r="V35" i="6"/>
  <c r="W35" i="6"/>
  <c r="X35" i="6"/>
  <c r="Y35" i="6"/>
  <c r="Z35" i="6"/>
  <c r="AA35" i="6"/>
  <c r="AC35" i="6"/>
  <c r="AD35" i="6"/>
  <c r="AE35" i="6"/>
  <c r="AF35" i="6"/>
  <c r="AG35" i="6"/>
  <c r="AH35" i="6"/>
  <c r="AJ35" i="6" a="1"/>
  <c r="AJ35" i="6" s="1"/>
  <c r="AK35" i="6" a="1"/>
  <c r="AK35" i="6" s="1"/>
  <c r="AL35" i="6" a="1"/>
  <c r="AL35" i="6" s="1"/>
  <c r="AM35" i="6" a="1"/>
  <c r="AM35" i="6" s="1"/>
  <c r="C34" i="6"/>
  <c r="U34" i="6"/>
  <c r="V34" i="6"/>
  <c r="W34" i="6"/>
  <c r="X34" i="6"/>
  <c r="Y34" i="6"/>
  <c r="Z34" i="6"/>
  <c r="AA34" i="6"/>
  <c r="AC34" i="6"/>
  <c r="AD34" i="6"/>
  <c r="AE34" i="6"/>
  <c r="AF34" i="6"/>
  <c r="AG34" i="6"/>
  <c r="AH34" i="6"/>
  <c r="AJ34" i="6" a="1"/>
  <c r="AJ34" i="6" s="1"/>
  <c r="AK34" i="6" a="1"/>
  <c r="AK34" i="6" s="1"/>
  <c r="AL34" i="6" a="1"/>
  <c r="AL34" i="6" s="1"/>
  <c r="AM34" i="6" a="1"/>
  <c r="AM34" i="6" s="1"/>
  <c r="C33" i="6"/>
  <c r="U33" i="6"/>
  <c r="V33" i="6"/>
  <c r="W33" i="6"/>
  <c r="X33" i="6"/>
  <c r="Y33" i="6"/>
  <c r="Z33" i="6"/>
  <c r="AA33" i="6"/>
  <c r="AC33" i="6"/>
  <c r="AD33" i="6"/>
  <c r="AE33" i="6"/>
  <c r="AF33" i="6"/>
  <c r="AG33" i="6"/>
  <c r="AH33" i="6"/>
  <c r="AJ33" i="6" a="1"/>
  <c r="AJ33" i="6" s="1"/>
  <c r="AK33" i="6" a="1"/>
  <c r="AK33" i="6" s="1"/>
  <c r="AL33" i="6" a="1"/>
  <c r="AL33" i="6" s="1"/>
  <c r="AM33" i="6" a="1"/>
  <c r="AM33" i="6" s="1"/>
  <c r="C32" i="6"/>
  <c r="U32" i="6"/>
  <c r="V32" i="6"/>
  <c r="W32" i="6"/>
  <c r="X32" i="6"/>
  <c r="Y32" i="6"/>
  <c r="Z32" i="6"/>
  <c r="AA32" i="6"/>
  <c r="F23" i="5"/>
  <c r="C31" i="6"/>
  <c r="U31" i="6"/>
  <c r="C30" i="6"/>
  <c r="U30" i="6"/>
  <c r="U29" i="6"/>
  <c r="C29" i="6"/>
  <c r="C28" i="6"/>
  <c r="U28" i="6"/>
  <c r="V28" i="6"/>
  <c r="W28" i="6"/>
  <c r="X28" i="6"/>
  <c r="Y28" i="6"/>
  <c r="Z28" i="6"/>
  <c r="AA28" i="6"/>
  <c r="U23" i="6"/>
  <c r="V23" i="6"/>
  <c r="W23" i="6"/>
  <c r="X23" i="6"/>
  <c r="Y23" i="6"/>
  <c r="Z23" i="6"/>
  <c r="AA23" i="6"/>
  <c r="W29" i="6"/>
  <c r="W2" i="6"/>
  <c r="W5" i="6"/>
  <c r="W6" i="6"/>
  <c r="W7" i="6"/>
  <c r="W30" i="6"/>
  <c r="W4" i="6"/>
  <c r="W3" i="6"/>
  <c r="W8" i="6"/>
  <c r="W10" i="6"/>
  <c r="W9" i="6"/>
  <c r="W11" i="6"/>
  <c r="W13" i="6"/>
  <c r="W31" i="6"/>
  <c r="W15" i="6"/>
  <c r="W16" i="6"/>
  <c r="W17" i="6"/>
  <c r="W18" i="6"/>
  <c r="W19" i="6"/>
  <c r="W20" i="6"/>
  <c r="W24" i="6"/>
  <c r="W21" i="6"/>
  <c r="W26" i="6"/>
  <c r="W27" i="6"/>
  <c r="W25" i="6"/>
  <c r="W22" i="6"/>
  <c r="V29" i="6"/>
  <c r="V2" i="6"/>
  <c r="V5" i="6"/>
  <c r="V6" i="6"/>
  <c r="V7" i="6"/>
  <c r="V30" i="6"/>
  <c r="V4" i="6"/>
  <c r="V3" i="6"/>
  <c r="V8" i="6"/>
  <c r="V10" i="6"/>
  <c r="V9" i="6"/>
  <c r="V11" i="6"/>
  <c r="V13" i="6"/>
  <c r="V31" i="6"/>
  <c r="V15" i="6"/>
  <c r="V16" i="6"/>
  <c r="V17" i="6"/>
  <c r="V18" i="6"/>
  <c r="V19" i="6"/>
  <c r="V20" i="6"/>
  <c r="V24" i="6"/>
  <c r="V21" i="6"/>
  <c r="V26" i="6"/>
  <c r="V27" i="6"/>
  <c r="V25" i="6"/>
  <c r="V22" i="6"/>
  <c r="X20" i="6"/>
  <c r="U2" i="6"/>
  <c r="U5" i="6"/>
  <c r="U6" i="6"/>
  <c r="U7" i="6"/>
  <c r="U4" i="6"/>
  <c r="U3" i="6"/>
  <c r="U8" i="6"/>
  <c r="U10" i="6"/>
  <c r="U9" i="6"/>
  <c r="U11" i="6"/>
  <c r="U13" i="6"/>
  <c r="U15" i="6"/>
  <c r="U16" i="6"/>
  <c r="U17" i="6"/>
  <c r="U18" i="6"/>
  <c r="U19" i="6"/>
  <c r="U20" i="6"/>
  <c r="U24" i="6"/>
  <c r="U21" i="6"/>
  <c r="U26" i="6"/>
  <c r="U27" i="6"/>
  <c r="U25" i="6"/>
  <c r="U22" i="6"/>
  <c r="Y29" i="6"/>
  <c r="Y2" i="6"/>
  <c r="Y5" i="6"/>
  <c r="Y6" i="6"/>
  <c r="Y7" i="6"/>
  <c r="Y30" i="6"/>
  <c r="Y4" i="6"/>
  <c r="Y3" i="6"/>
  <c r="Y8" i="6"/>
  <c r="Y10" i="6"/>
  <c r="Y9" i="6"/>
  <c r="Y11" i="6"/>
  <c r="Y13" i="6"/>
  <c r="Y31" i="6"/>
  <c r="Y15" i="6"/>
  <c r="Y16" i="6"/>
  <c r="Y17" i="6"/>
  <c r="Y18" i="6"/>
  <c r="Y19" i="6"/>
  <c r="Y20" i="6"/>
  <c r="Y24" i="6"/>
  <c r="Y21" i="6"/>
  <c r="Y26" i="6"/>
  <c r="Y27" i="6"/>
  <c r="Y25" i="6"/>
  <c r="Y22" i="6"/>
  <c r="X29" i="6"/>
  <c r="X2" i="6"/>
  <c r="X5" i="6"/>
  <c r="X6" i="6"/>
  <c r="X7" i="6"/>
  <c r="X30" i="6"/>
  <c r="X4" i="6"/>
  <c r="X3" i="6"/>
  <c r="X8" i="6"/>
  <c r="X10" i="6"/>
  <c r="X9" i="6"/>
  <c r="X11" i="6"/>
  <c r="X13" i="6"/>
  <c r="X31" i="6"/>
  <c r="X15" i="6"/>
  <c r="X16" i="6"/>
  <c r="X17" i="6"/>
  <c r="X18" i="6"/>
  <c r="X19" i="6"/>
  <c r="X24" i="6"/>
  <c r="X21" i="6"/>
  <c r="X26" i="6"/>
  <c r="X27" i="6"/>
  <c r="X25" i="6"/>
  <c r="X22" i="6"/>
  <c r="AC32" i="6"/>
  <c r="AD32" i="6"/>
  <c r="AE32" i="6"/>
  <c r="AF32" i="6"/>
  <c r="AG32" i="6"/>
  <c r="AH32" i="6"/>
  <c r="AJ32" i="6" a="1"/>
  <c r="AJ32" i="6" s="1"/>
  <c r="AK32" i="6" a="1"/>
  <c r="AK32" i="6" s="1"/>
  <c r="AL32" i="6" a="1"/>
  <c r="AL32" i="6" s="1"/>
  <c r="AM32" i="6" a="1"/>
  <c r="AM32" i="6" s="1"/>
  <c r="AC28" i="6"/>
  <c r="AD28" i="6"/>
  <c r="AE28" i="6"/>
  <c r="AF28" i="6"/>
  <c r="AG28" i="6"/>
  <c r="AH28" i="6"/>
  <c r="AJ28" i="6" a="1"/>
  <c r="AJ28" i="6" s="1"/>
  <c r="AK28" i="6" a="1"/>
  <c r="AK28" i="6" s="1"/>
  <c r="AL28" i="6" a="1"/>
  <c r="AL28" i="6" s="1"/>
  <c r="AM28" i="6" a="1"/>
  <c r="AM28" i="6" s="1"/>
  <c r="AC23" i="6"/>
  <c r="AD23" i="6"/>
  <c r="AE23" i="6"/>
  <c r="AF23" i="6"/>
  <c r="AG23" i="6"/>
  <c r="AH23" i="6"/>
  <c r="AJ23" i="6" a="1"/>
  <c r="AJ23" i="6" s="1"/>
  <c r="AK23" i="6" a="1"/>
  <c r="AK23" i="6" s="1"/>
  <c r="AL23" i="6" a="1"/>
  <c r="AL23" i="6" s="1"/>
  <c r="AM23" i="6" a="1"/>
  <c r="AM23" i="6" s="1"/>
  <c r="Z31" i="6"/>
  <c r="AA31" i="6"/>
  <c r="AC31" i="6"/>
  <c r="AD31" i="6"/>
  <c r="AE31" i="6"/>
  <c r="AF31" i="6"/>
  <c r="AG31" i="6"/>
  <c r="AH31" i="6"/>
  <c r="AJ31" i="6" a="1"/>
  <c r="AJ31" i="6" s="1"/>
  <c r="AK31" i="6" a="1"/>
  <c r="AK31" i="6" s="1"/>
  <c r="AL31" i="6" a="1"/>
  <c r="AL31" i="6" s="1"/>
  <c r="AM31" i="6" a="1"/>
  <c r="AM31" i="6" s="1"/>
  <c r="Z30" i="6"/>
  <c r="AA30" i="6"/>
  <c r="AC30" i="6"/>
  <c r="AD30" i="6"/>
  <c r="AE30" i="6"/>
  <c r="AF30" i="6"/>
  <c r="AG30" i="6"/>
  <c r="AH30" i="6"/>
  <c r="AJ30" i="6" a="1"/>
  <c r="AJ30" i="6" s="1"/>
  <c r="AK30" i="6" a="1"/>
  <c r="AK30" i="6" s="1"/>
  <c r="AL30" i="6" a="1"/>
  <c r="AL30" i="6" s="1"/>
  <c r="AM30" i="6" a="1"/>
  <c r="AM30" i="6" s="1"/>
  <c r="C13" i="6"/>
  <c r="Z13" i="6"/>
  <c r="AA13" i="6"/>
  <c r="AC13" i="6"/>
  <c r="AD13" i="6"/>
  <c r="AE13" i="6"/>
  <c r="AF13" i="6"/>
  <c r="AG13" i="6"/>
  <c r="AH13" i="6"/>
  <c r="AJ13" i="6" a="1"/>
  <c r="AJ13" i="6" s="1"/>
  <c r="AK13" i="6" a="1"/>
  <c r="AK13" i="6" s="1"/>
  <c r="AL13" i="6" a="1"/>
  <c r="AL13" i="6" s="1"/>
  <c r="AM13" i="6" a="1"/>
  <c r="AM13" i="6" s="1"/>
  <c r="C11" i="6"/>
  <c r="Z11" i="6"/>
  <c r="AA11" i="6"/>
  <c r="AC11" i="6"/>
  <c r="AD11" i="6"/>
  <c r="AE11" i="6"/>
  <c r="AF11" i="6"/>
  <c r="AG11" i="6"/>
  <c r="AH11" i="6"/>
  <c r="AJ11" i="6" a="1"/>
  <c r="AJ11" i="6" s="1"/>
  <c r="AK11" i="6" a="1"/>
  <c r="AK11" i="6" s="1"/>
  <c r="AL11" i="6" a="1"/>
  <c r="AL11" i="6" s="1"/>
  <c r="AM11" i="6" a="1"/>
  <c r="AM11" i="6" s="1"/>
  <c r="C2" i="6"/>
  <c r="Z2" i="6"/>
  <c r="AA2" i="6"/>
  <c r="AC2" i="6"/>
  <c r="AD2" i="6"/>
  <c r="AE2" i="6"/>
  <c r="AF2" i="6"/>
  <c r="AG2" i="6"/>
  <c r="AH2" i="6"/>
  <c r="AJ2" i="6" a="1"/>
  <c r="AJ2" i="6" s="1"/>
  <c r="AK2" i="6" a="1"/>
  <c r="AK2" i="6" s="1"/>
  <c r="AL2" i="6" a="1"/>
  <c r="AL2" i="6" s="1"/>
  <c r="AM2" i="6" a="1"/>
  <c r="AM2" i="6" s="1"/>
  <c r="E9" i="8"/>
  <c r="K9" i="8" s="1"/>
  <c r="C22" i="6"/>
  <c r="Z22" i="6"/>
  <c r="AA22" i="6"/>
  <c r="AC22" i="6"/>
  <c r="AD22" i="6"/>
  <c r="AE22" i="6"/>
  <c r="AF22" i="6"/>
  <c r="AG22" i="6"/>
  <c r="AH22" i="6"/>
  <c r="AJ22" i="6" a="1"/>
  <c r="AJ22" i="6" s="1"/>
  <c r="AK22" i="6" a="1"/>
  <c r="AK22" i="6" s="1"/>
  <c r="AL22" i="6" a="1"/>
  <c r="AL22" i="6" s="1"/>
  <c r="AM22" i="6" a="1"/>
  <c r="AM22" i="6" s="1"/>
  <c r="C25" i="6"/>
  <c r="Z25" i="6"/>
  <c r="AA25" i="6"/>
  <c r="AC25" i="6"/>
  <c r="AD25" i="6"/>
  <c r="AE25" i="6"/>
  <c r="AF25" i="6"/>
  <c r="AG25" i="6"/>
  <c r="AH25" i="6"/>
  <c r="AJ25" i="6" a="1"/>
  <c r="AJ25" i="6" s="1"/>
  <c r="AK25" i="6" a="1"/>
  <c r="AK25" i="6" s="1"/>
  <c r="AL25" i="6" a="1"/>
  <c r="AL25" i="6" s="1"/>
  <c r="AM25" i="6" a="1"/>
  <c r="AM25" i="6" s="1"/>
  <c r="C27" i="6"/>
  <c r="Z27" i="6"/>
  <c r="AA27" i="6"/>
  <c r="AC27" i="6"/>
  <c r="AD27" i="6"/>
  <c r="AE27" i="6"/>
  <c r="AF27" i="6"/>
  <c r="AG27" i="6"/>
  <c r="AH27" i="6"/>
  <c r="AJ27" i="6" a="1"/>
  <c r="AJ27" i="6" s="1"/>
  <c r="AK27" i="6" a="1"/>
  <c r="AK27" i="6" s="1"/>
  <c r="AL27" i="6" a="1"/>
  <c r="AL27" i="6" s="1"/>
  <c r="AM27" i="6" a="1"/>
  <c r="AM27" i="6" s="1"/>
  <c r="C26" i="6"/>
  <c r="C20" i="6"/>
  <c r="C24" i="6"/>
  <c r="C21" i="6"/>
  <c r="Z20" i="6"/>
  <c r="Z24" i="6"/>
  <c r="Z21" i="6"/>
  <c r="AA20" i="6"/>
  <c r="AA24" i="6"/>
  <c r="AA21" i="6"/>
  <c r="AC20" i="6"/>
  <c r="AC24" i="6"/>
  <c r="AC21" i="6"/>
  <c r="AD20" i="6"/>
  <c r="AD24" i="6"/>
  <c r="AD21" i="6"/>
  <c r="AE20" i="6"/>
  <c r="AE24" i="6"/>
  <c r="AE21" i="6"/>
  <c r="AF20" i="6"/>
  <c r="AF24" i="6"/>
  <c r="AF21" i="6"/>
  <c r="AG20" i="6"/>
  <c r="AG24" i="6"/>
  <c r="AG21" i="6"/>
  <c r="AH20" i="6"/>
  <c r="AH24" i="6"/>
  <c r="AH21" i="6"/>
  <c r="AJ20" i="6" a="1"/>
  <c r="AJ20" i="6" s="1"/>
  <c r="AJ24" i="6" a="1"/>
  <c r="AJ24" i="6" s="1"/>
  <c r="AJ21" i="6" a="1"/>
  <c r="AJ21" i="6" s="1"/>
  <c r="AK20" i="6" a="1"/>
  <c r="AK20" i="6" s="1"/>
  <c r="AK24" i="6" a="1"/>
  <c r="AK24" i="6" s="1"/>
  <c r="AK21" i="6" a="1"/>
  <c r="AK21" i="6" s="1"/>
  <c r="AL20" i="6" a="1"/>
  <c r="AL20" i="6" s="1"/>
  <c r="AL24" i="6" a="1"/>
  <c r="AL24" i="6" s="1"/>
  <c r="AL21" i="6" a="1"/>
  <c r="AL21" i="6" s="1"/>
  <c r="AM20" i="6" a="1"/>
  <c r="AM20" i="6" s="1"/>
  <c r="AM24" i="6" a="1"/>
  <c r="AM24" i="6" s="1"/>
  <c r="AM21" i="6" a="1"/>
  <c r="AM21" i="6" s="1"/>
  <c r="C19" i="6"/>
  <c r="Z19" i="6"/>
  <c r="AA19" i="6"/>
  <c r="AC19" i="6"/>
  <c r="AD19" i="6"/>
  <c r="AE19" i="6"/>
  <c r="AF19" i="6"/>
  <c r="AG19" i="6"/>
  <c r="AH19" i="6"/>
  <c r="AJ19" i="6" a="1"/>
  <c r="AJ19" i="6" s="1"/>
  <c r="AK19" i="6" a="1"/>
  <c r="AK19" i="6" s="1"/>
  <c r="AL19" i="6" a="1"/>
  <c r="AL19" i="6" s="1"/>
  <c r="AM19" i="6" a="1"/>
  <c r="AM19" i="6" s="1"/>
  <c r="B4" i="8"/>
  <c r="C18" i="6"/>
  <c r="Z18" i="6"/>
  <c r="AA18" i="6"/>
  <c r="AC18" i="6"/>
  <c r="AD18" i="6"/>
  <c r="AE18" i="6"/>
  <c r="AF18" i="6"/>
  <c r="AG18" i="6"/>
  <c r="AH18" i="6"/>
  <c r="AJ18" i="6" a="1"/>
  <c r="AJ18" i="6" s="1"/>
  <c r="AK18" i="6" a="1"/>
  <c r="AK18" i="6" s="1"/>
  <c r="AL18" i="6" a="1"/>
  <c r="AL18" i="6" s="1"/>
  <c r="AM18" i="6" a="1"/>
  <c r="AM18" i="6" s="1"/>
  <c r="C17" i="6"/>
  <c r="Z17" i="6"/>
  <c r="AA17" i="6"/>
  <c r="AC17" i="6"/>
  <c r="AD17" i="6"/>
  <c r="AE17" i="6"/>
  <c r="AF17" i="6"/>
  <c r="AG17" i="6"/>
  <c r="AH17" i="6"/>
  <c r="AJ17" i="6" a="1"/>
  <c r="AJ17" i="6" s="1"/>
  <c r="AK17" i="6" a="1"/>
  <c r="AK17" i="6" s="1"/>
  <c r="AL17" i="6" a="1"/>
  <c r="AL17" i="6" s="1"/>
  <c r="AM17" i="6" a="1"/>
  <c r="AM17" i="6" s="1"/>
  <c r="H10" i="8"/>
  <c r="H9" i="8"/>
  <c r="B3" i="8"/>
  <c r="F9" i="8"/>
  <c r="L9" i="8" s="1"/>
  <c r="G9" i="8"/>
  <c r="M9" i="8" s="1"/>
  <c r="E10" i="8"/>
  <c r="K10" i="8" s="1"/>
  <c r="F10" i="8"/>
  <c r="L10" i="8" s="1"/>
  <c r="G10" i="8"/>
  <c r="M10" i="8" s="1"/>
  <c r="C16" i="6"/>
  <c r="Z16" i="6"/>
  <c r="AA16" i="6"/>
  <c r="AC16" i="6"/>
  <c r="AD16" i="6"/>
  <c r="AE16" i="6"/>
  <c r="AF16" i="6"/>
  <c r="AG16" i="6"/>
  <c r="AH16" i="6"/>
  <c r="AJ16" i="6" a="1"/>
  <c r="AJ16" i="6" s="1"/>
  <c r="AK16" i="6" a="1"/>
  <c r="AK16" i="6" s="1"/>
  <c r="AL16" i="6" a="1"/>
  <c r="AL16" i="6" s="1"/>
  <c r="AM16" i="6" a="1"/>
  <c r="AM16" i="6" s="1"/>
  <c r="C5" i="6"/>
  <c r="C6" i="6"/>
  <c r="C7" i="6"/>
  <c r="C4" i="6"/>
  <c r="C3" i="6"/>
  <c r="C8" i="6"/>
  <c r="C10" i="6"/>
  <c r="C9" i="6"/>
  <c r="C15" i="6"/>
  <c r="Z5" i="6"/>
  <c r="Z15" i="6"/>
  <c r="AA15" i="6"/>
  <c r="AC15" i="6"/>
  <c r="AD15" i="6"/>
  <c r="AE15" i="6"/>
  <c r="AF15" i="6"/>
  <c r="AG15" i="6"/>
  <c r="AH15" i="6"/>
  <c r="AJ15" i="6" a="1"/>
  <c r="AJ15" i="6" s="1"/>
  <c r="AK15" i="6" a="1"/>
  <c r="AK15" i="6" s="1"/>
  <c r="AL15" i="6" a="1"/>
  <c r="AL15" i="6" s="1"/>
  <c r="AM15" i="6" a="1"/>
  <c r="AM15" i="6" s="1"/>
  <c r="F12" i="5"/>
  <c r="F11" i="5"/>
  <c r="Z9" i="6"/>
  <c r="AA9" i="6"/>
  <c r="AC9" i="6"/>
  <c r="AD9" i="6"/>
  <c r="AE9" i="6"/>
  <c r="AF9" i="6"/>
  <c r="AG9" i="6"/>
  <c r="AH9" i="6"/>
  <c r="AJ9" i="6" a="1"/>
  <c r="AJ9" i="6" s="1"/>
  <c r="AK9" i="6" a="1"/>
  <c r="AK9" i="6" s="1"/>
  <c r="AL9" i="6" a="1"/>
  <c r="AL9" i="6" s="1"/>
  <c r="AM9" i="6" a="1"/>
  <c r="AM9" i="6" s="1"/>
  <c r="Z10" i="6"/>
  <c r="AA10" i="6"/>
  <c r="AC10" i="6"/>
  <c r="AD10" i="6"/>
  <c r="AE10" i="6"/>
  <c r="AF10" i="6"/>
  <c r="AG10" i="6"/>
  <c r="AH10" i="6"/>
  <c r="AJ10" i="6" a="1"/>
  <c r="AJ10" i="6" s="1"/>
  <c r="AK10" i="6" a="1"/>
  <c r="AK10" i="6" s="1"/>
  <c r="AL10" i="6" a="1"/>
  <c r="AL10" i="6" s="1"/>
  <c r="AM10" i="6" a="1"/>
  <c r="AM10" i="6" s="1"/>
  <c r="Z8" i="6"/>
  <c r="AA8" i="6"/>
  <c r="AC8" i="6"/>
  <c r="AD8" i="6"/>
  <c r="AE8" i="6"/>
  <c r="AF8" i="6"/>
  <c r="AG8" i="6"/>
  <c r="AH8" i="6"/>
  <c r="AJ8" i="6" a="1"/>
  <c r="AJ8" i="6" s="1"/>
  <c r="AK8" i="6" a="1"/>
  <c r="AK8" i="6" s="1"/>
  <c r="AL8" i="6" a="1"/>
  <c r="AL8" i="6" s="1"/>
  <c r="AM8" i="6" a="1"/>
  <c r="AM8" i="6" s="1"/>
  <c r="Z3" i="6"/>
  <c r="AA3" i="6"/>
  <c r="AC3" i="6"/>
  <c r="AD3" i="6"/>
  <c r="AE3" i="6"/>
  <c r="AF3" i="6"/>
  <c r="AG3" i="6"/>
  <c r="AH3" i="6"/>
  <c r="AJ3" i="6" a="1"/>
  <c r="AJ3" i="6" s="1"/>
  <c r="AK3" i="6" a="1"/>
  <c r="AK3" i="6" s="1"/>
  <c r="AL3" i="6" a="1"/>
  <c r="AL3" i="6" s="1"/>
  <c r="AM3" i="6" a="1"/>
  <c r="AM3" i="6" s="1"/>
  <c r="Z4" i="6"/>
  <c r="AA4" i="6"/>
  <c r="AC4" i="6"/>
  <c r="AD4" i="6"/>
  <c r="AE4" i="6"/>
  <c r="AF4" i="6"/>
  <c r="AG4" i="6"/>
  <c r="AH4" i="6"/>
  <c r="AJ4" i="6" a="1"/>
  <c r="AJ4" i="6" s="1"/>
  <c r="AK4" i="6" a="1"/>
  <c r="AK4" i="6" s="1"/>
  <c r="AL4" i="6" a="1"/>
  <c r="AL4" i="6" s="1"/>
  <c r="AM4" i="6" a="1"/>
  <c r="AM4" i="6" s="1"/>
  <c r="Z7" i="6"/>
  <c r="AA7" i="6"/>
  <c r="AC7" i="6"/>
  <c r="AD7" i="6"/>
  <c r="AE7" i="6"/>
  <c r="AF7" i="6"/>
  <c r="AG7" i="6"/>
  <c r="AH7" i="6"/>
  <c r="AJ7" i="6" a="1"/>
  <c r="AJ7" i="6" s="1"/>
  <c r="AK7" i="6" a="1"/>
  <c r="AK7" i="6" s="1"/>
  <c r="AL7" i="6" a="1"/>
  <c r="AL7" i="6" s="1"/>
  <c r="AM7" i="6" a="1"/>
  <c r="AM7" i="6" s="1"/>
  <c r="Z6" i="6"/>
  <c r="AA6" i="6"/>
  <c r="AC6" i="6"/>
  <c r="AD6" i="6"/>
  <c r="AE6" i="6"/>
  <c r="AF6" i="6"/>
  <c r="AG6" i="6"/>
  <c r="AH6" i="6"/>
  <c r="AJ6" i="6" a="1"/>
  <c r="AJ6" i="6" s="1"/>
  <c r="AK6" i="6" a="1"/>
  <c r="AK6" i="6" s="1"/>
  <c r="AL6" i="6" a="1"/>
  <c r="AL6" i="6" s="1"/>
  <c r="AM6" i="6" a="1"/>
  <c r="AM6" i="6" s="1"/>
  <c r="AA5" i="6"/>
  <c r="AC5" i="6"/>
  <c r="AD5" i="6"/>
  <c r="AE5" i="6"/>
  <c r="AF5" i="6"/>
  <c r="AG5" i="6"/>
  <c r="AH5" i="6"/>
  <c r="AJ5" i="6" a="1"/>
  <c r="AJ5" i="6" s="1"/>
  <c r="AK5" i="6" a="1"/>
  <c r="AK5" i="6" s="1"/>
  <c r="AL5" i="6" a="1"/>
  <c r="AL5" i="6" s="1"/>
  <c r="AM5" i="6" a="1"/>
  <c r="AM5" i="6" s="1"/>
  <c r="Z29" i="6"/>
  <c r="AA29" i="6"/>
  <c r="AC29" i="6"/>
  <c r="AD29" i="6"/>
  <c r="AE29" i="6"/>
  <c r="AF29" i="6"/>
  <c r="AG29" i="6"/>
  <c r="AH29" i="6"/>
  <c r="AJ29" i="6" a="1"/>
  <c r="AJ29" i="6" s="1"/>
  <c r="AK29" i="6" a="1"/>
  <c r="AK29" i="6" s="1"/>
  <c r="AL29" i="6" a="1"/>
  <c r="AL29" i="6" s="1"/>
  <c r="AM29" i="6" a="1"/>
  <c r="AM29" i="6" s="1"/>
  <c r="M11" i="8"/>
  <c r="L11" i="8"/>
  <c r="K11" i="8"/>
  <c r="M7" i="8"/>
  <c r="M14" i="8"/>
  <c r="E3" i="5"/>
  <c r="G63" i="6" l="1"/>
  <c r="F64" i="6"/>
  <c r="G64" i="6" s="1"/>
  <c r="N11" i="8"/>
  <c r="O11" i="8" s="1"/>
  <c r="AI29" i="6"/>
  <c r="AI34" i="6"/>
  <c r="AI35" i="6"/>
  <c r="AI28" i="6"/>
  <c r="AI24" i="6"/>
  <c r="AI31" i="6"/>
  <c r="AI23" i="6"/>
  <c r="F27" i="16"/>
  <c r="D28" i="16"/>
  <c r="C20" i="11"/>
  <c r="G26" i="11"/>
  <c r="H26" i="11"/>
  <c r="I26" i="11"/>
  <c r="J26" i="11"/>
  <c r="K26" i="11"/>
  <c r="L26" i="11"/>
  <c r="M26" i="11"/>
  <c r="N26" i="11"/>
  <c r="F26" i="11"/>
  <c r="E26" i="11"/>
  <c r="D26" i="11"/>
  <c r="C26" i="11"/>
  <c r="F7" i="11"/>
  <c r="G7" i="11"/>
  <c r="H7" i="11"/>
  <c r="I7" i="11"/>
  <c r="J7" i="11"/>
  <c r="K7" i="11"/>
  <c r="L7" i="11"/>
  <c r="M7" i="11"/>
  <c r="N7" i="11"/>
  <c r="E7" i="11"/>
  <c r="D7" i="11"/>
  <c r="C7" i="11"/>
  <c r="G17" i="11"/>
  <c r="H17" i="11"/>
  <c r="I17" i="11"/>
  <c r="J17" i="11"/>
  <c r="K17" i="11"/>
  <c r="L17" i="11"/>
  <c r="M17" i="11"/>
  <c r="N17" i="11"/>
  <c r="F17" i="11"/>
  <c r="E17" i="11"/>
  <c r="D17" i="11"/>
  <c r="C17" i="11"/>
  <c r="G6" i="11"/>
  <c r="H6" i="11"/>
  <c r="I6" i="11"/>
  <c r="J6" i="11"/>
  <c r="K6" i="11"/>
  <c r="L6" i="11"/>
  <c r="M6" i="11"/>
  <c r="N6" i="11"/>
  <c r="F6" i="11"/>
  <c r="E6" i="11"/>
  <c r="D6" i="11"/>
  <c r="C6" i="11"/>
  <c r="G24" i="11"/>
  <c r="H24" i="11"/>
  <c r="I24" i="11"/>
  <c r="J24" i="11"/>
  <c r="K24" i="11"/>
  <c r="L24" i="11"/>
  <c r="M24" i="11"/>
  <c r="N24" i="11"/>
  <c r="F24" i="11"/>
  <c r="E24" i="11"/>
  <c r="D24" i="11"/>
  <c r="C24" i="11"/>
  <c r="G21" i="11"/>
  <c r="H21" i="11"/>
  <c r="I21" i="11"/>
  <c r="J21" i="11"/>
  <c r="K21" i="11"/>
  <c r="L21" i="11"/>
  <c r="M21" i="11"/>
  <c r="N21" i="11"/>
  <c r="F21" i="11"/>
  <c r="E21" i="11"/>
  <c r="D21" i="11"/>
  <c r="C21" i="11"/>
  <c r="G14" i="11"/>
  <c r="H14" i="11"/>
  <c r="I14" i="11"/>
  <c r="J14" i="11"/>
  <c r="K14" i="11"/>
  <c r="L14" i="11"/>
  <c r="M14" i="11"/>
  <c r="N14" i="11"/>
  <c r="F14" i="11"/>
  <c r="E14" i="11"/>
  <c r="D14" i="11"/>
  <c r="C14" i="11"/>
  <c r="G22" i="11"/>
  <c r="H22" i="11"/>
  <c r="I22" i="11"/>
  <c r="J22" i="11"/>
  <c r="K22" i="11"/>
  <c r="L22" i="11"/>
  <c r="M22" i="11"/>
  <c r="N22" i="11"/>
  <c r="F22" i="11"/>
  <c r="E22" i="11"/>
  <c r="D22" i="11"/>
  <c r="C22" i="11"/>
  <c r="G18" i="11"/>
  <c r="H18" i="11"/>
  <c r="I18" i="11"/>
  <c r="J18" i="11"/>
  <c r="K18" i="11"/>
  <c r="L18" i="11"/>
  <c r="M18" i="11"/>
  <c r="N18" i="11"/>
  <c r="F18" i="11"/>
  <c r="E18" i="11"/>
  <c r="D18" i="11"/>
  <c r="C18" i="11"/>
  <c r="G4" i="11"/>
  <c r="H4" i="11"/>
  <c r="I4" i="11"/>
  <c r="J4" i="11"/>
  <c r="K4" i="11"/>
  <c r="L4" i="11"/>
  <c r="M4" i="11"/>
  <c r="N4" i="11"/>
  <c r="F4" i="11"/>
  <c r="E4" i="11"/>
  <c r="D4" i="11"/>
  <c r="C4" i="11"/>
  <c r="G15" i="11"/>
  <c r="H15" i="11"/>
  <c r="I15" i="11"/>
  <c r="J15" i="11"/>
  <c r="K15" i="11"/>
  <c r="L15" i="11"/>
  <c r="M15" i="11"/>
  <c r="N15" i="11"/>
  <c r="F15" i="11"/>
  <c r="E15" i="11"/>
  <c r="D15" i="11"/>
  <c r="C15" i="11"/>
  <c r="G5" i="11"/>
  <c r="H5" i="11"/>
  <c r="I5" i="11"/>
  <c r="J5" i="11"/>
  <c r="K5" i="11"/>
  <c r="L5" i="11"/>
  <c r="M5" i="11"/>
  <c r="N5" i="11"/>
  <c r="F5" i="11"/>
  <c r="E5" i="11"/>
  <c r="D5" i="11"/>
  <c r="C5" i="11"/>
  <c r="G16" i="11"/>
  <c r="H16" i="11"/>
  <c r="I16" i="11"/>
  <c r="J16" i="11"/>
  <c r="K16" i="11"/>
  <c r="L16" i="11"/>
  <c r="M16" i="11"/>
  <c r="N16" i="11"/>
  <c r="F16" i="11"/>
  <c r="E16" i="11"/>
  <c r="D16" i="11"/>
  <c r="C16" i="11"/>
  <c r="N3" i="11"/>
  <c r="M3" i="11"/>
  <c r="L3" i="11"/>
  <c r="K3" i="11"/>
  <c r="J3" i="11"/>
  <c r="I3" i="11"/>
  <c r="G3" i="11"/>
  <c r="H3" i="11"/>
  <c r="E3" i="11"/>
  <c r="D3" i="11"/>
  <c r="F3" i="11"/>
  <c r="C3" i="11"/>
  <c r="G19" i="11"/>
  <c r="H19" i="11"/>
  <c r="I19" i="11"/>
  <c r="J19" i="11"/>
  <c r="K19" i="11"/>
  <c r="L19" i="11"/>
  <c r="M19" i="11"/>
  <c r="N19" i="11"/>
  <c r="F19" i="11"/>
  <c r="E19" i="11"/>
  <c r="D19" i="11"/>
  <c r="C19" i="11"/>
  <c r="G8" i="11"/>
  <c r="H8" i="11"/>
  <c r="I8" i="11"/>
  <c r="J8" i="11"/>
  <c r="K8" i="11"/>
  <c r="L8" i="11"/>
  <c r="M8" i="11"/>
  <c r="N8" i="11"/>
  <c r="F8" i="11"/>
  <c r="E8" i="11"/>
  <c r="D8" i="11"/>
  <c r="C8" i="11"/>
  <c r="G20" i="11"/>
  <c r="H20" i="11"/>
  <c r="I20" i="11"/>
  <c r="J20" i="11"/>
  <c r="K20" i="11"/>
  <c r="L20" i="11"/>
  <c r="M20" i="11"/>
  <c r="N20" i="11"/>
  <c r="F20" i="11"/>
  <c r="E20" i="11"/>
  <c r="D20" i="11"/>
  <c r="I10" i="11"/>
  <c r="M10" i="11"/>
  <c r="F10" i="11"/>
  <c r="D10" i="11"/>
  <c r="J10" i="11"/>
  <c r="N10" i="11"/>
  <c r="C10" i="11"/>
  <c r="G10" i="11"/>
  <c r="K10" i="11"/>
  <c r="E10" i="11"/>
  <c r="H10" i="11"/>
  <c r="L10" i="11"/>
  <c r="G13" i="11"/>
  <c r="K13" i="11"/>
  <c r="H13" i="11"/>
  <c r="L13" i="11"/>
  <c r="F13" i="11"/>
  <c r="E13" i="11"/>
  <c r="D13" i="11"/>
  <c r="I13" i="11"/>
  <c r="M13" i="11"/>
  <c r="C13" i="11"/>
  <c r="J13" i="11"/>
  <c r="N13" i="11"/>
  <c r="G8" i="8"/>
  <c r="M8" i="8" s="1"/>
  <c r="F16" i="6"/>
  <c r="G16" i="6" s="1"/>
  <c r="G15" i="6"/>
  <c r="F7" i="6"/>
  <c r="F8" i="6" s="1"/>
  <c r="F9" i="6" s="1"/>
  <c r="F10" i="6" s="1"/>
  <c r="F11" i="6" s="1"/>
  <c r="AN41" i="6"/>
  <c r="AN40" i="6"/>
  <c r="B19" i="8" a="1"/>
  <c r="B19" i="8" s="1"/>
  <c r="D14" i="8" a="1"/>
  <c r="N9" i="8"/>
  <c r="O9" i="8" s="1"/>
  <c r="O12" i="11"/>
  <c r="C9" i="5"/>
  <c r="C17" i="5"/>
  <c r="O25" i="11"/>
  <c r="O23" i="11"/>
  <c r="O11" i="11"/>
  <c r="O9" i="11"/>
  <c r="N10" i="8"/>
  <c r="O10" i="8" s="1"/>
  <c r="AN29" i="6"/>
  <c r="E24" i="5"/>
  <c r="C34" i="5"/>
  <c r="E31" i="5"/>
  <c r="D6" i="5"/>
  <c r="D4" i="5"/>
  <c r="E29" i="5"/>
  <c r="F4" i="7" a="1"/>
  <c r="F4" i="7" s="1"/>
  <c r="AN39" i="6"/>
  <c r="AN37" i="6"/>
  <c r="D23" i="5"/>
  <c r="C20" i="5"/>
  <c r="D15" i="5"/>
  <c r="AN24" i="6"/>
  <c r="AN22" i="6"/>
  <c r="D16" i="5"/>
  <c r="E18" i="5"/>
  <c r="D25" i="5"/>
  <c r="C7" i="5"/>
  <c r="C22" i="5"/>
  <c r="AN15" i="6"/>
  <c r="AN27" i="6"/>
  <c r="AN2" i="6"/>
  <c r="AN35" i="6"/>
  <c r="E22" i="5"/>
  <c r="E4" i="5"/>
  <c r="D21" i="5"/>
  <c r="C13" i="5"/>
  <c r="E12" i="5"/>
  <c r="E19" i="5"/>
  <c r="E34" i="5"/>
  <c r="E10" i="5"/>
  <c r="C30" i="5"/>
  <c r="C10" i="5"/>
  <c r="C6" i="5"/>
  <c r="D9" i="5"/>
  <c r="D19" i="5"/>
  <c r="D29" i="5"/>
  <c r="E20" i="5"/>
  <c r="C16" i="5"/>
  <c r="E21" i="5"/>
  <c r="C29" i="5"/>
  <c r="D18" i="5"/>
  <c r="E8" i="5"/>
  <c r="C14" i="5"/>
  <c r="C25" i="5"/>
  <c r="D34" i="5"/>
  <c r="D26" i="5"/>
  <c r="AN25" i="6"/>
  <c r="AN31" i="6"/>
  <c r="AN36" i="6"/>
  <c r="D31" i="5"/>
  <c r="C23" i="5"/>
  <c r="E32" i="5"/>
  <c r="E15" i="5"/>
  <c r="E30" i="5"/>
  <c r="E6" i="5"/>
  <c r="E13" i="5"/>
  <c r="C5" i="5"/>
  <c r="D10" i="5"/>
  <c r="AN16" i="6"/>
  <c r="AN11" i="6"/>
  <c r="E5" i="5"/>
  <c r="AN8" i="6"/>
  <c r="D22" i="5"/>
  <c r="AN17" i="6"/>
  <c r="AN13" i="6"/>
  <c r="C28" i="5"/>
  <c r="E25" i="5"/>
  <c r="C31" i="5"/>
  <c r="D13" i="5"/>
  <c r="E14" i="5"/>
  <c r="E28" i="5"/>
  <c r="E11" i="5"/>
  <c r="D27" i="5"/>
  <c r="D20" i="5"/>
  <c r="E26" i="5"/>
  <c r="E33" i="5"/>
  <c r="E9" i="5"/>
  <c r="C24" i="5"/>
  <c r="C18" i="5"/>
  <c r="D11" i="5"/>
  <c r="D14" i="5"/>
  <c r="D12" i="5"/>
  <c r="C21" i="5"/>
  <c r="AN23" i="6"/>
  <c r="AN28" i="6"/>
  <c r="E27" i="5"/>
  <c r="D8" i="5"/>
  <c r="E16" i="5"/>
  <c r="E23" i="5"/>
  <c r="C4" i="5"/>
  <c r="C19" i="5"/>
  <c r="D7" i="5"/>
  <c r="AN6" i="6"/>
  <c r="AN9" i="6"/>
  <c r="AN5" i="6"/>
  <c r="AN20" i="6"/>
  <c r="AN4" i="6"/>
  <c r="AN19" i="6"/>
  <c r="AN33" i="6"/>
  <c r="AN7" i="6"/>
  <c r="AN30" i="6"/>
  <c r="AN3" i="6"/>
  <c r="AN10" i="6"/>
  <c r="AN18" i="6"/>
  <c r="AN34" i="6"/>
  <c r="AN14" i="6"/>
  <c r="AN38" i="6"/>
  <c r="AN32" i="6"/>
  <c r="AN21" i="6"/>
  <c r="D29" i="16" l="1"/>
  <c r="F28" i="16"/>
  <c r="O3" i="11"/>
  <c r="E17" i="8"/>
  <c r="K17" i="8" s="1"/>
  <c r="G17" i="8"/>
  <c r="M17" i="8" s="1"/>
  <c r="F17" i="8"/>
  <c r="L17" i="8" s="1"/>
  <c r="H17" i="8"/>
  <c r="D14" i="8"/>
  <c r="F14" i="8" s="1"/>
  <c r="G16" i="8"/>
  <c r="M16" i="8" s="1"/>
  <c r="F16" i="8"/>
  <c r="L16" i="8" s="1"/>
  <c r="O19" i="11"/>
  <c r="F17" i="6"/>
  <c r="G17" i="6" s="1"/>
  <c r="F13" i="6"/>
  <c r="F12" i="6"/>
  <c r="O8" i="11"/>
  <c r="O26" i="11"/>
  <c r="O24" i="11"/>
  <c r="O13" i="11"/>
  <c r="O14" i="11"/>
  <c r="O7" i="11"/>
  <c r="O22" i="11"/>
  <c r="O4" i="11"/>
  <c r="G15" i="8"/>
  <c r="M15" i="8" s="1"/>
  <c r="O6" i="11"/>
  <c r="O16" i="11"/>
  <c r="O18" i="11"/>
  <c r="O21" i="11"/>
  <c r="O5" i="11"/>
  <c r="O10" i="11"/>
  <c r="O20" i="11"/>
  <c r="F15" i="8"/>
  <c r="L15" i="8" s="1"/>
  <c r="O17" i="11"/>
  <c r="O15" i="11"/>
  <c r="F29" i="16" l="1"/>
  <c r="D30" i="16"/>
  <c r="F18" i="6"/>
  <c r="G18" i="6" s="1"/>
  <c r="N17" i="8"/>
  <c r="O17" i="8" s="1"/>
  <c r="E16" i="8"/>
  <c r="K16" i="8" s="1"/>
  <c r="N16" i="8" s="1"/>
  <c r="O16" i="8" s="1"/>
  <c r="E15" i="8"/>
  <c r="L14" i="8"/>
  <c r="E14" i="8"/>
  <c r="H14" i="8" s="1"/>
  <c r="K15" i="8" l="1"/>
  <c r="N15" i="8" s="1"/>
  <c r="O15" i="8" s="1"/>
  <c r="H15" i="8"/>
  <c r="F19" i="6"/>
  <c r="G19" i="6" s="1"/>
  <c r="F30" i="16"/>
  <c r="D31" i="16"/>
  <c r="H16" i="8"/>
  <c r="K14" i="8"/>
  <c r="N14" i="8" s="1"/>
  <c r="O14" i="8" s="1"/>
  <c r="F20" i="6" l="1"/>
  <c r="G20" i="6" s="1"/>
  <c r="D32" i="16"/>
  <c r="F31" i="16"/>
  <c r="F21" i="6"/>
  <c r="G21" i="6" s="1"/>
  <c r="P14" i="8"/>
  <c r="D33" i="16" l="1"/>
  <c r="F32" i="16"/>
  <c r="F22" i="6"/>
  <c r="G22" i="6" s="1"/>
  <c r="D34" i="16" l="1"/>
  <c r="F33" i="16"/>
  <c r="F23" i="6"/>
  <c r="G23" i="6" s="1"/>
  <c r="D35" i="16" l="1"/>
  <c r="F34" i="16"/>
  <c r="F24" i="6"/>
  <c r="G24" i="6" s="1"/>
  <c r="D36" i="16" l="1"/>
  <c r="F35" i="16"/>
  <c r="F25" i="6"/>
  <c r="G25" i="6" s="1"/>
  <c r="D37" i="16" l="1"/>
  <c r="F36" i="16"/>
  <c r="F26" i="6"/>
  <c r="G26" i="6" s="1"/>
  <c r="F37" i="16" l="1"/>
  <c r="D38" i="16"/>
  <c r="F27" i="6"/>
  <c r="F38" i="16" l="1"/>
  <c r="D39" i="16"/>
  <c r="G27" i="6"/>
  <c r="F28" i="6"/>
  <c r="G28" i="6" s="1"/>
  <c r="F39" i="16" l="1"/>
  <c r="D40" i="16"/>
  <c r="F29" i="6"/>
  <c r="G29" i="6" s="1"/>
  <c r="D41" i="16" l="1"/>
  <c r="F40" i="16"/>
  <c r="E35" i="5" s="1"/>
  <c r="F30" i="6"/>
  <c r="G30" i="6" s="1"/>
  <c r="F41" i="16" l="1"/>
  <c r="E17" i="5" s="1"/>
  <c r="D42" i="16"/>
  <c r="F42" i="16" s="1"/>
  <c r="E36" i="5" s="1"/>
  <c r="F31" i="6"/>
  <c r="G31" i="6" s="1"/>
  <c r="F32" i="6" l="1"/>
  <c r="G32" i="6" s="1"/>
  <c r="F33" i="6" l="1"/>
  <c r="G33" i="6" s="1"/>
  <c r="F34" i="6" l="1"/>
  <c r="G34" i="6" s="1"/>
  <c r="F35" i="6" l="1"/>
  <c r="G35" i="6" s="1"/>
  <c r="F36" i="6" l="1"/>
  <c r="G36" i="6" s="1"/>
  <c r="F37" i="6" l="1"/>
  <c r="G37" i="6" s="1"/>
  <c r="C11" i="5" l="1"/>
  <c r="F38" i="6"/>
  <c r="G38" i="6" s="1"/>
  <c r="F39" i="6" l="1"/>
  <c r="G39" i="6" s="1"/>
  <c r="B4" i="15" l="1" a="1"/>
  <c r="B4" i="15" s="1"/>
  <c r="F40" i="6"/>
  <c r="G40" i="6" s="1"/>
  <c r="F41" i="6" l="1"/>
  <c r="G41" i="6" l="1"/>
  <c r="F42" i="6"/>
  <c r="G42" i="6" l="1"/>
  <c r="F43" i="6"/>
  <c r="C12" i="5"/>
  <c r="G43" i="6" l="1"/>
  <c r="F44" i="6"/>
  <c r="C33" i="5"/>
  <c r="C26" i="5"/>
  <c r="C8" i="5"/>
  <c r="G44" i="6" l="1"/>
  <c r="F45" i="6"/>
  <c r="C36" i="5"/>
  <c r="G45" i="6" l="1"/>
  <c r="C15" i="5"/>
  <c r="C27" i="5" l="1"/>
  <c r="C32" i="5" l="1"/>
  <c r="C35" i="5" l="1"/>
  <c r="K6" i="5" s="1" a="1"/>
  <c r="K6" i="5" s="1"/>
  <c r="K4" i="5" a="1"/>
  <c r="K4" i="5" s="1"/>
  <c r="K8" i="5" a="1"/>
  <c r="K8" i="5" s="1"/>
  <c r="K5" i="5" l="1" a="1"/>
  <c r="K5" i="5" s="1"/>
  <c r="K9" i="5" a="1"/>
  <c r="K9" i="5" s="1"/>
  <c r="K7" i="5" a="1"/>
  <c r="K7" i="5" s="1"/>
  <c r="K10" i="5" a="1"/>
  <c r="K10" i="5" s="1"/>
  <c r="D36" i="5"/>
  <c r="D30" i="5" l="1"/>
  <c r="D24" i="5" l="1"/>
  <c r="D17" i="5"/>
  <c r="E7" i="5" l="1"/>
  <c r="M9" i="5" s="1" a="1"/>
  <c r="M9" i="5" s="1"/>
  <c r="D28" i="5"/>
  <c r="M7" i="5" l="1" a="1"/>
  <c r="M7" i="5" s="1"/>
  <c r="M6" i="5" a="1"/>
  <c r="M6" i="5" s="1"/>
  <c r="M10" i="5" a="1"/>
  <c r="M10" i="5" s="1"/>
  <c r="M5" i="5" a="1"/>
  <c r="M5" i="5" s="1"/>
  <c r="M4" i="5" a="1"/>
  <c r="M4" i="5" s="1"/>
  <c r="M8" i="5" a="1"/>
  <c r="M8" i="5" s="1"/>
  <c r="D5" i="5"/>
  <c r="D33" i="5" l="1"/>
  <c r="D32" i="5" l="1"/>
  <c r="H31" i="11" l="1" a="1"/>
  <c r="H31" i="11" s="1"/>
  <c r="C31" i="11" a="1"/>
  <c r="C31" i="11" s="1"/>
  <c r="D35" i="5"/>
  <c r="L5" i="5" s="1" a="1"/>
  <c r="L5" i="5" s="1"/>
  <c r="L6" i="5" l="1" a="1"/>
  <c r="L6" i="5" s="1"/>
  <c r="L9" i="5" a="1"/>
  <c r="L9" i="5" s="1"/>
  <c r="L8" i="5" a="1"/>
  <c r="L8" i="5" s="1"/>
  <c r="L10" i="5" a="1"/>
  <c r="L10" i="5" s="1"/>
  <c r="L4" i="5" a="1"/>
  <c r="L4" i="5" s="1"/>
  <c r="L7" i="5" a="1"/>
  <c r="L7" i="5" s="1"/>
  <c r="F9" i="5" l="1"/>
  <c r="F35" i="5"/>
  <c r="F17" i="5"/>
  <c r="F7" i="5"/>
  <c r="F29" i="5"/>
  <c r="F26" i="5"/>
  <c r="F6" i="5"/>
  <c r="F30" i="5"/>
  <c r="F27" i="5"/>
  <c r="F36" i="5"/>
  <c r="F28" i="5"/>
  <c r="F24" i="5" l="1"/>
  <c r="F15" i="5"/>
  <c r="F8" i="5"/>
  <c r="F8" i="8"/>
  <c r="F32" i="5"/>
  <c r="F33" i="5"/>
  <c r="F5" i="5"/>
  <c r="L8" i="8" l="1"/>
  <c r="E8" i="8"/>
  <c r="L7" i="8"/>
  <c r="E7" i="8"/>
  <c r="H8" i="8" l="1"/>
  <c r="K8" i="8"/>
  <c r="N8" i="8" s="1"/>
  <c r="O8" i="8" s="1"/>
  <c r="K7" i="8"/>
  <c r="N7" i="8" s="1"/>
  <c r="O7" i="8" s="1"/>
  <c r="P7" i="8" s="1"/>
  <c r="P11" i="8" s="1"/>
  <c r="I4" i="8" s="1"/>
  <c r="H7"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<sst xmlns="http://schemas.openxmlformats.org/spreadsheetml/2006/main" count="1076" uniqueCount="473">
  <si>
    <t>Área</t>
  </si>
  <si>
    <t>Encargado</t>
  </si>
  <si>
    <t>E-mail</t>
  </si>
  <si>
    <t>Teléfono</t>
  </si>
  <si>
    <t>Dirección</t>
  </si>
  <si>
    <t>Observaciones</t>
  </si>
  <si>
    <t>Columna1</t>
  </si>
  <si>
    <t>Mantenimiento de Redes</t>
  </si>
  <si>
    <t>DENIS AREAs</t>
  </si>
  <si>
    <t>mmontoya@oomapasc.gob.mx</t>
  </si>
  <si>
    <t>TÉCNICA</t>
  </si>
  <si>
    <t>MARCELA MONTOYA</t>
  </si>
  <si>
    <t>Alcantarillado y Saneamiento</t>
  </si>
  <si>
    <t>AURELIO VALDEZ</t>
  </si>
  <si>
    <t>agastelum@oomapasc.gob.mx, cflores@oomapasc.gob.mx</t>
  </si>
  <si>
    <t>Comunicación e Imagen Institucional</t>
  </si>
  <si>
    <t>ROBERTO CASTAÑEDA</t>
  </si>
  <si>
    <t>comunicacion@oomapasc.gob.mx, badilla@oomapasc.gob.mx</t>
  </si>
  <si>
    <t>ADMINISTRATIVA</t>
  </si>
  <si>
    <t>Plantas Potabilizadoras</t>
  </si>
  <si>
    <t>JAVIER ENRIQUEZ</t>
  </si>
  <si>
    <t>jaenriquez@oomapasc.gob.mx, agalvez@oomapasc.gob.mx</t>
  </si>
  <si>
    <t>ARACELY GALVEZ</t>
  </si>
  <si>
    <t>Contabilidad</t>
  </si>
  <si>
    <t>GUTY LEON</t>
  </si>
  <si>
    <t>gleon@oomapasc.gob.mx</t>
  </si>
  <si>
    <t>Contratos y Servicios</t>
  </si>
  <si>
    <t xml:space="preserve">Anselmo </t>
  </si>
  <si>
    <t>juvalenzuela@oomapasc.gob.mx</t>
  </si>
  <si>
    <t>COMERCIAL</t>
  </si>
  <si>
    <t>MARTHA DOMINGUEZ</t>
  </si>
  <si>
    <t>mdominguez@oomapasc.gob.mx</t>
  </si>
  <si>
    <t>Control de Calidad</t>
  </si>
  <si>
    <t>LENIA LUZANILLA</t>
  </si>
  <si>
    <t>lgasca@oomapasc.gob.mx</t>
  </si>
  <si>
    <t>Sistema de Gestión de Calidad</t>
  </si>
  <si>
    <t>GENERAL</t>
  </si>
  <si>
    <t>Informática</t>
  </si>
  <si>
    <t>ALFFREDO TORRES</t>
  </si>
  <si>
    <t>jtorres@oomapasc.gob.mx, rsuarez@oomapasc.gob.mx</t>
  </si>
  <si>
    <t>ALBA ROCIO SUAREZ</t>
  </si>
  <si>
    <t>rsuarez@oomapasc.gob.mx</t>
  </si>
  <si>
    <t>Jurídico</t>
  </si>
  <si>
    <t>RODRIGO BADILLA</t>
  </si>
  <si>
    <t>rbadilla@oomapasc.gob.mx</t>
  </si>
  <si>
    <t>JURÍDICA</t>
  </si>
  <si>
    <t>Licitaciones</t>
  </si>
  <si>
    <t>DANIEL PIZÁ</t>
  </si>
  <si>
    <t>dsandoval@oomapasc.gob.mx, bfelix@oomapasc.gob.mx</t>
  </si>
  <si>
    <t>beatriz felix</t>
  </si>
  <si>
    <t>bfelix@oomapasc.gob.mx</t>
  </si>
  <si>
    <t>Línea OOMAPASC</t>
  </si>
  <si>
    <t>Alejandro lara</t>
  </si>
  <si>
    <t>linea_oomapasc@oomapasc.gob.mx</t>
  </si>
  <si>
    <t>Mantenimiento y Servicios Generales</t>
  </si>
  <si>
    <t xml:space="preserve">Ramses Encinas </t>
  </si>
  <si>
    <t>rencinas@oomapasc.gob.mx, serviciosgenerales@oomapasc.gob.mx</t>
  </si>
  <si>
    <t xml:space="preserve">JAZMIN SORTILLON </t>
  </si>
  <si>
    <t>serviciosgenerales@oomapasc.gob.mx</t>
  </si>
  <si>
    <t>Órgano de Control Interno</t>
  </si>
  <si>
    <t>EVELYN PELAEZ</t>
  </si>
  <si>
    <t>epelaez@oomapasc.gob.mx</t>
  </si>
  <si>
    <t>ÓRGANO DE CONTROL INTERNO</t>
  </si>
  <si>
    <t>Padrón de Usuarios</t>
  </si>
  <si>
    <t>ANA LILIA</t>
  </si>
  <si>
    <t>amedina@oomapasc.gob.mx</t>
  </si>
  <si>
    <t>Control y Servicios</t>
  </si>
  <si>
    <t>IRASEMA MORENO</t>
  </si>
  <si>
    <t>imoreno@oomapasc.gob.mx</t>
  </si>
  <si>
    <t>Proyectos e Infraestructura</t>
  </si>
  <si>
    <t>ESTEBAN OSWALDO SAUCEDA</t>
  </si>
  <si>
    <t>esauceda@oomapasc.gob.mx</t>
  </si>
  <si>
    <t>Recursos Materiales</t>
  </si>
  <si>
    <t>KARINA BOJORQUEZ</t>
  </si>
  <si>
    <t>kbojorquez@oomapasc.gob.mx, proveedores@oomapasc.gob.mx, dgalarza@oomapasc.gob.mx</t>
  </si>
  <si>
    <t>Recursos Humanos</t>
  </si>
  <si>
    <t>ERIKA ACOSTA</t>
  </si>
  <si>
    <t>macosta@oomapasc.gob.mx</t>
  </si>
  <si>
    <t>Seguridad Industrial</t>
  </si>
  <si>
    <t>MARTIN AVILA</t>
  </si>
  <si>
    <t>mavila@oomapasc.gob.mx</t>
  </si>
  <si>
    <t>Agencia Pueblo Yaqui</t>
  </si>
  <si>
    <t>RAQUEL ESTRADA</t>
  </si>
  <si>
    <t>restrada@oomapasc.gob.mx</t>
  </si>
  <si>
    <t>Agencia Esperanza</t>
  </si>
  <si>
    <t>Agencias Suburbanas</t>
  </si>
  <si>
    <t>Agencia Marte R. Gómez</t>
  </si>
  <si>
    <t>GUADALUPE ALCARAZ</t>
  </si>
  <si>
    <t>lalcaraz@oomapasc.gob.mx</t>
  </si>
  <si>
    <t>Agencia Providencia</t>
  </si>
  <si>
    <t>JUAN DUARTE COMPIAN</t>
  </si>
  <si>
    <t>jduarte@oomapasc.gob.mx</t>
  </si>
  <si>
    <t>Suburbano Técnico</t>
  </si>
  <si>
    <t>MARIO MENDOZA</t>
  </si>
  <si>
    <t>mmendoza@oomapasc.gob.mx</t>
  </si>
  <si>
    <t>Supervisión y control de obras</t>
  </si>
  <si>
    <t>Sectorización hidrométrica e innovación</t>
  </si>
  <si>
    <t>CRISTINA</t>
  </si>
  <si>
    <t>ectorizacion@oomapasc.gob.mx</t>
  </si>
  <si>
    <t>Trabajo Social</t>
  </si>
  <si>
    <t>ROSALVA IBARRA</t>
  </si>
  <si>
    <t>rybarra@oomapasc.gob.mx</t>
  </si>
  <si>
    <t>PROGRAMAS SOCIALES Y CULTURA DEL AGUA</t>
  </si>
  <si>
    <t xml:space="preserve"> </t>
  </si>
  <si>
    <t>Trámites Técnicos</t>
  </si>
  <si>
    <t>MARTHA VALLE</t>
  </si>
  <si>
    <t>mvalle@oomapasc.gob.mx</t>
  </si>
  <si>
    <t>Verificación Y Lectura</t>
  </si>
  <si>
    <t>MARTA VALENZUELA</t>
  </si>
  <si>
    <t>mvzla@oomapasc.gob.mx</t>
  </si>
  <si>
    <t>Atención Ciudadana</t>
  </si>
  <si>
    <t>ANA GLORIA PEREZ</t>
  </si>
  <si>
    <t>aperez@oomapasc.gob.mx</t>
  </si>
  <si>
    <t>suburbano Comercial</t>
  </si>
  <si>
    <t>AÑO:</t>
  </si>
  <si>
    <t xml:space="preserve">DIRECCIÓN  </t>
  </si>
  <si>
    <t>ÁREA</t>
  </si>
  <si>
    <t>OM FUERA DE TIEMPO</t>
  </si>
  <si>
    <t>DIRECCIONES</t>
  </si>
  <si>
    <t>Dirección Comercial</t>
  </si>
  <si>
    <t>Verificación y lectura</t>
  </si>
  <si>
    <t>ACCIONES Y MEJORAS</t>
  </si>
  <si>
    <t>BUSCAR ÁREA</t>
  </si>
  <si>
    <t>FOLIO</t>
  </si>
  <si>
    <t>FECHA DE APERTURA</t>
  </si>
  <si>
    <t>DESCRIPCIÓN</t>
  </si>
  <si>
    <t>FECHA DE CIERRE</t>
  </si>
  <si>
    <t>REPLANTEO #1</t>
  </si>
  <si>
    <t>REPLANTEO #2</t>
  </si>
  <si>
    <t>ESTADO DE ACCIONES Y MEJORAS</t>
  </si>
  <si>
    <t xml:space="preserve">PENDIENTES </t>
  </si>
  <si>
    <t>PLANES DE MEJORA</t>
  </si>
  <si>
    <t xml:space="preserve">EN TIEMPO </t>
  </si>
  <si>
    <t>FUERA DE TIEMPO</t>
  </si>
  <si>
    <t>TOTAL CERRADAS</t>
  </si>
  <si>
    <t>TOTAL</t>
  </si>
  <si>
    <t>% de cumplimiento</t>
  </si>
  <si>
    <t>CUMPLIMIENTO MEJORAS</t>
  </si>
  <si>
    <t>Mejora 14 nube de resultados y  archivo de control de acciones
Acción 08 del 25,  Seguimiento a los criterios de acciones correctivas
                    Revisión de formulas archivo control 6
Acción 15 del 2025 temas de seguimientos documentación nube</t>
  </si>
  <si>
    <t>PROMEDIO ACCIONES Y mejoras</t>
  </si>
  <si>
    <t>ACCIONES CORRECTIVAS</t>
  </si>
  <si>
    <t>CUMPLIMIENTO ACCIONES</t>
  </si>
  <si>
    <t>Auditores</t>
  </si>
  <si>
    <t>Enero</t>
  </si>
  <si>
    <t>Febrero</t>
  </si>
  <si>
    <t>Marzo</t>
  </si>
  <si>
    <t>Abril</t>
  </si>
  <si>
    <t>Mayo</t>
  </si>
  <si>
    <t>Junio</t>
  </si>
  <si>
    <t>Julio</t>
  </si>
  <si>
    <t>Agosto</t>
  </si>
  <si>
    <t>Septiembre</t>
  </si>
  <si>
    <t>Octubre</t>
  </si>
  <si>
    <t>Noviembre</t>
  </si>
  <si>
    <t>Diciembre</t>
  </si>
  <si>
    <t>Agustina León Velásquez</t>
  </si>
  <si>
    <t>Karina Lilian Bojorquez Encinas</t>
  </si>
  <si>
    <t>Martha Lizbeth Campa Velásquez</t>
  </si>
  <si>
    <t>Evelyn Pelaez Villalobos</t>
  </si>
  <si>
    <t>Aracely Galvez</t>
  </si>
  <si>
    <t>Ana Gloria Perez Contreras</t>
  </si>
  <si>
    <t>Juan Carlos López Zamora</t>
  </si>
  <si>
    <t>Erika Maria Acosta Sepúlveda</t>
  </si>
  <si>
    <t>Lenia Ireri Luzanilla Gazca</t>
  </si>
  <si>
    <t>Alba Rocio Suarez Valenzuela</t>
  </si>
  <si>
    <t>Vicente Francisco Ivich Cambuston</t>
  </si>
  <si>
    <t>Irasema Moreno</t>
  </si>
  <si>
    <t>Nadia G. Lopez Mongomery</t>
  </si>
  <si>
    <t>Olimpia Lopez Castelo</t>
  </si>
  <si>
    <t>Miguel Angel Encinas Servin de la Mora</t>
  </si>
  <si>
    <t>Gladys Tatiana Escobar Meraz</t>
  </si>
  <si>
    <t>Mariana Perez Chavez</t>
  </si>
  <si>
    <t>Christian E. Flores Arce</t>
  </si>
  <si>
    <t>Héctor M. Páez León</t>
  </si>
  <si>
    <t>Mario A. Mendoza López</t>
  </si>
  <si>
    <t xml:space="preserve">Ana K. Pérez Pèrez </t>
  </si>
  <si>
    <t xml:space="preserve">Xiomara del Carmen López Alvarez </t>
  </si>
  <si>
    <t xml:space="preserve">Maria de los Angeles Armenta Gonzalez </t>
  </si>
  <si>
    <t>Beatriz I. Vega Acuña</t>
  </si>
  <si>
    <t>AUDITOR</t>
  </si>
  <si>
    <t>Folios Pendientes</t>
  </si>
  <si>
    <t>Área Responsable</t>
  </si>
  <si>
    <t>Folios Cerrados</t>
  </si>
  <si>
    <t>AÑO</t>
  </si>
  <si>
    <t>MES</t>
  </si>
  <si>
    <t>Columna2</t>
  </si>
  <si>
    <t>REPLANTEO #2 "Formato de replanteo"</t>
  </si>
  <si>
    <t>REPLANTEO #3</t>
  </si>
  <si>
    <t>ESTATUS</t>
  </si>
  <si>
    <t>ORIGEN</t>
  </si>
  <si>
    <t>OBSERVACIONES</t>
  </si>
  <si>
    <t>Auditor P. Cierre</t>
  </si>
  <si>
    <t>Fecha entrega</t>
  </si>
  <si>
    <t>Fecha Recibido</t>
  </si>
  <si>
    <t>Punto Auditoría</t>
  </si>
  <si>
    <t>MES ENTREGA</t>
  </si>
  <si>
    <t>AÑO ENTREGA</t>
  </si>
  <si>
    <t>Mes recibido (AUD)</t>
  </si>
  <si>
    <t>año recibido (AUD)</t>
  </si>
  <si>
    <t>CÓDIGO 1</t>
  </si>
  <si>
    <t>CÓDIGO 2</t>
  </si>
  <si>
    <t>CÓDIGO 3 TOTAL FECHAS</t>
  </si>
  <si>
    <t xml:space="preserve">CÓDIGO 4 EN FECHA DE CIERRE </t>
  </si>
  <si>
    <t>CÓDIGO 5 REPLANTEO FECHA CIERRE</t>
  </si>
  <si>
    <t>CÓDIGO 6 REPLANTEO FECHA CIERRE2</t>
  </si>
  <si>
    <t>CÓDIGO 7 REPLANTEO FECHA CIERRE3</t>
  </si>
  <si>
    <t>CÓDIGO 8 ESTATUS CIERRE</t>
  </si>
  <si>
    <t>CÓDIGO 9 ESTATUS CERRADA</t>
  </si>
  <si>
    <t>CÓDIGO 10 FUERA DE TIEMPO</t>
  </si>
  <si>
    <t>CÓDIGO 11 POR VENCER FECHA CIERRE</t>
  </si>
  <si>
    <t>CÓDIGO 12 POR VENCERREPLANTEO 1</t>
  </si>
  <si>
    <t>CÓDIGO 13 POR VENCER REPLANTEO 2</t>
  </si>
  <si>
    <t>CÓDIGO 14 FUERA DE REPLANTEO 3</t>
  </si>
  <si>
    <t>CÓDIGO 15 POR VENCER</t>
  </si>
  <si>
    <t>DIRECCIÓN</t>
  </si>
  <si>
    <t>Secuencia</t>
  </si>
  <si>
    <t>OM#2\2024</t>
  </si>
  <si>
    <t>CALIDAD EN TRANSMISIONES</t>
  </si>
  <si>
    <t>Cerrada</t>
  </si>
  <si>
    <t>1-24</t>
  </si>
  <si>
    <t>OM#47\2024</t>
  </si>
  <si>
    <t xml:space="preserve">Descripciones de puestos </t>
  </si>
  <si>
    <t>2-24</t>
  </si>
  <si>
    <t>OM#3\2024</t>
  </si>
  <si>
    <t>Reporte de mantenimiento correctivo</t>
  </si>
  <si>
    <t>OM#43\2024</t>
  </si>
  <si>
    <t xml:space="preserve">Actualización de Padron de Proveedores </t>
  </si>
  <si>
    <t>OM#44\2024</t>
  </si>
  <si>
    <t xml:space="preserve">COSTO DE SERVICIOS QUE BRINDA OOMAPASC IMPRESO EN MODULOS </t>
  </si>
  <si>
    <t>se mando correo electronico 26/09/25 evelyn p./ se mando correo evelyn 19/01/26</t>
  </si>
  <si>
    <t>OM#60\2024</t>
  </si>
  <si>
    <t>Video Inducción actualización</t>
  </si>
  <si>
    <t>3-24</t>
  </si>
  <si>
    <t>OM#53\2024</t>
  </si>
  <si>
    <t>extractores laboratorios</t>
  </si>
  <si>
    <t>Control de calidad</t>
  </si>
  <si>
    <t>OM#56\2024</t>
  </si>
  <si>
    <t>Capacitación interna en las gerencias de la dirección comercial</t>
  </si>
  <si>
    <t>OM#58\2024</t>
  </si>
  <si>
    <t>Registrar indicador de mantenimiento en la MIR 2025</t>
  </si>
  <si>
    <t>OM#57\2024</t>
  </si>
  <si>
    <t>Eficientar el apartado de contratos</t>
  </si>
  <si>
    <t>OM#65\2024</t>
  </si>
  <si>
    <t>Página de consulta externas de los reportes CONRAD</t>
  </si>
  <si>
    <t>OM#63\2024</t>
  </si>
  <si>
    <t>Actualización padron saneamiento NOM-002-SEMARNAT</t>
  </si>
  <si>
    <t>se mando correo a maguel mario y cristian flores 26/08/2025</t>
  </si>
  <si>
    <t>OM#59\2024</t>
  </si>
  <si>
    <t>ACTUALIZACIÓN DEL NOMBRE DEL INDICADOR CUMPLIR CON EL PROGRAMA ANUAL DE PLATICAS ESCOLARES</t>
  </si>
  <si>
    <t>Cambio de área, indicador ya no pertenece al área</t>
  </si>
  <si>
    <t>OM#67\2024</t>
  </si>
  <si>
    <t>Digitalización de registros</t>
  </si>
  <si>
    <t>OM#68\2024</t>
  </si>
  <si>
    <t>Campaña de difusión interna para el Código de Ética del Organismo</t>
  </si>
  <si>
    <t>se mando correo electronico 26/09/25 evelyn p.</t>
  </si>
  <si>
    <t>OM#66\2024</t>
  </si>
  <si>
    <t>Desigancion del enlace de archivo y cambio de actividades del Enlace de transparencia</t>
  </si>
  <si>
    <t>2025 - Mejoras Por Dirección</t>
  </si>
  <si>
    <t>Actualización procedimiento OOMPSH-05</t>
  </si>
  <si>
    <t>1-25</t>
  </si>
  <si>
    <t>10/04/2025</t>
  </si>
  <si>
    <t>Control de carpetas de fraccionamientos</t>
  </si>
  <si>
    <t>CHECK LIST PARA LA REVISION DE PROYECTOS DE AGUA POTABLE, DRENAJE SANITARIO Y PAVIMENTACION.</t>
  </si>
  <si>
    <t>se envió correo electrónico 26/09/25</t>
  </si>
  <si>
    <t>Renovación de página interna del OOMAPAS de Cajeme (INTRANET)</t>
  </si>
  <si>
    <t>Actualización de Misión, Visión, Valores y Objetivo de mejora</t>
  </si>
  <si>
    <t>REESTRUCTURACIÓN DE LA DIRECCIÓN DE PROGRAMAS SOCIALES Y CULTURA DEL AGUA</t>
  </si>
  <si>
    <t>se envió correo a rosalva I. 04/11/2025</t>
  </si>
  <si>
    <t>Prototipo "App Interna Consulta adeudos por Colonias"</t>
  </si>
  <si>
    <t>Pago bases licitaciones</t>
  </si>
  <si>
    <t>Archivo de control de buzon de quejas</t>
  </si>
  <si>
    <t>Creación procedimiento en relación a la elaboración de actas de junta de Gobierno</t>
  </si>
  <si>
    <t>CREACIÓN Y CAMBIOS DE LAS DESCRIPCIONES DE PUESTOS DE LA DIRECCIÓN DE PROGRAMAS SOCIALES Y CULTURA DEL AGUA.</t>
  </si>
  <si>
    <t>2-25</t>
  </si>
  <si>
    <t>Nuevo formato "Drescripciones de puestos"</t>
  </si>
  <si>
    <t>Página Web OOMAPASC</t>
  </si>
  <si>
    <t>se mando correo roberto c. y ada liz 04/11/2025</t>
  </si>
  <si>
    <t>Nueva legislación en materia de transparencia</t>
  </si>
  <si>
    <t xml:space="preserve">Formato de análisis de cortes realizados </t>
  </si>
  <si>
    <t>se mando correo a Irasema M. 04/11/2025</t>
  </si>
  <si>
    <t>Reforzamiento de planta laboral</t>
  </si>
  <si>
    <t>Reunión con área de mantenimiento y SGC 18 de diciembre</t>
  </si>
  <si>
    <t xml:space="preserve">Actualización al registro OOMRGS-28 </t>
  </si>
  <si>
    <t>Nube de resultados SGC</t>
  </si>
  <si>
    <t>Empatar los indicadores con los procedimientos vigentes del órgano de control</t>
  </si>
  <si>
    <t>ADQUISICIÓN DE BALANZA ANALITICA</t>
  </si>
  <si>
    <t>3-25</t>
  </si>
  <si>
    <t>se identifico que, en la descripcion de puesto del titular de la unidad de enlace detrasparancia, OOMRH-09-201, aparececomo jefe inmediato director juridico, mas en la descripcion de puesto de director juridico (OOMRH-09-200) no aparece como subordinado, misma sitiacion con el puesto de enlace de archivo (OOMRH-09-2007)</t>
  </si>
  <si>
    <t>actualmente las reconexiones no se encontraban detalladas, al momento del cierre de borraban formulas, se repetian cuentas y informacion no era veraz</t>
  </si>
  <si>
    <t>la direccion de programa sociales y cultura del agua esta en proceso de formación e intregación de sus áreas de cultura del agua y programs del SGC.</t>
  </si>
  <si>
    <t>año</t>
  </si>
  <si>
    <t>sec</t>
  </si>
  <si>
    <t>foliox</t>
  </si>
  <si>
    <t>DIRECCIÓN O GERENCIA</t>
  </si>
  <si>
    <t>MES ENTREGADO</t>
  </si>
  <si>
    <t>AÑO ENTREGADO</t>
  </si>
  <si>
    <t>CÓDIGO RELACIÓN</t>
  </si>
  <si>
    <t>AC#40\2023</t>
  </si>
  <si>
    <t xml:space="preserve">NO ES TOTALMENTE EFICAZ EL CONTROL Y SEGUIMIENTO DE LA ACCIÓN CORRECTIVA No. 39/2020; ( NO SE A CUMPLIDO CON EL INDICADOR DE MANTENER EL 60 % DE LA EFICIENCIA FISICA) </t>
  </si>
  <si>
    <t>Indicador</t>
  </si>
  <si>
    <t>Actualizar formato a 2025 - se mando correo a javier E. y Aracely G. 25/07/25 - se manda exhorto 30/07/25</t>
  </si>
  <si>
    <t>AC#5\2024</t>
  </si>
  <si>
    <t>La gestión de los requisitos de las partes interesadas y el ambiente de las operaciones, no es totalmente eficaz.
Requisito 4.2/7.1.4
 A) Coordinación de seguridad industrial - Se presenta evidencia del estudio de iluminación realizado en marzo de 2023, pero este estudio solo incluyó las plantas 1,2,3 4, se observa que dicho estudio cita 3 puntos fuera de norma, sin embargo, no se ha realizado nuevamente el estudio para asegurar el cumplimiento, cabe señalar que para el sitio planta villa bonita no se realizó. 
B) Planta 1 y 2-(7.1.4)- Se observa que los tambos de polímero (sulfato de aluminio sólido) utilizado para el proceso de potabilización, no presenta identificación de riesgos de acuerdo con la norma vigente NOM-018-STPS.</t>
  </si>
  <si>
    <t>Seguridad industrial</t>
  </si>
  <si>
    <t>Auditoría externa</t>
  </si>
  <si>
    <t>AC#6\2024</t>
  </si>
  <si>
    <t>8.2.3.1 La organización debe asegurarse de que tienen la capacidad de cumplir con los requisitos para los productos y servicios que se van a ofrecer a los clientes.Existe el riesgo de incumplimiento de la NOM-127-SSA1-2021 con los rangos de turbiedad, ya que según registros (OOMRTS-28) desde noviembre 2023 no funciona el turbidímetro de la planta potabilizadora “Hornos”.</t>
  </si>
  <si>
    <t>Auditoría #4</t>
  </si>
  <si>
    <t>se mando correo a mario mendoza 25/07/25</t>
  </si>
  <si>
    <t>Actualmente el espacio de cultura de agua se encuentra realizando la programación de las platicas pero de acuerdo a los calendarios escolares, disponibilidad y periodo vacacional por semana santa  no se cumplió la meta trimestral de atender a  3750 alumnos.</t>
  </si>
  <si>
    <t>Comunicación e imagen institucional</t>
  </si>
  <si>
    <t>indicador</t>
  </si>
  <si>
    <t>Auditoría Externa</t>
  </si>
  <si>
    <t>AC#16\2024</t>
  </si>
  <si>
    <t>No es totalmente eficaz, ya que al momento de revisar las descripciones de puestos se observó que, en el caso del coordinador electromecánico de cárcamos y plantas tratadoras, no se encuentra en el organigrama, ni en la lista maestra de registros, sin embargo, aparece el oficial de mantenimiento de plantas tratadoras.</t>
  </si>
  <si>
    <t>Auditoría</t>
  </si>
  <si>
    <t>correo electrónico miguel M., criatian F</t>
  </si>
  <si>
    <t>AC#19\2024</t>
  </si>
  <si>
    <t>No es totalmente eficaz el procedimiento OOMPIS-01 Procedimiento de evaluacion y mantenimiento de areas ya que al llevar a cabo la revision del OOMRIS-04 Programa anual de evaluacion de areas contra los registros OOMRIS-13 Formulario de inspeccion de extintores se encontro lo siguiente: Se requiere revision general de todas las areas que cuentan con extintores ya que la informacion de los registros OOMRIS-13 no MUESTRA evidencia de las revisiones llevada a cabo en cada uno de los extintores ya que se encontraron las etiquetas sin llenar y extintores sin señalizacion por lo que no evidencian las revisiones realizadas.</t>
  </si>
  <si>
    <t>Auditoría #7</t>
  </si>
  <si>
    <t>AC#7\2024</t>
  </si>
  <si>
    <t>Atender los reportes de los usuarios de la ciudad.</t>
  </si>
  <si>
    <t>AC#17\2024</t>
  </si>
  <si>
    <t>Cuando los coliformes se encuentran fuera de los limites, mayor o igual del 5% permisibles al año en un mismo punto, se elabora una accion correctiva, el punto de muestreo que salio fuera de norma es : Planta Potabilizadora Providencia.</t>
  </si>
  <si>
    <t>No es totalmente eficaz la competencia ya que se tiene asignado a un químico laboratorista No. De
empleado 2031, Angel Bayarhy Flores el cual no cumple con el perfil de su descripción de puestos el cual
especifica que debe ser químico o bachillerato con área en común</t>
  </si>
  <si>
    <t>AC#20\2024</t>
  </si>
  <si>
    <t xml:space="preserve">NO SE CUMPLIÓ CON EL PROGRAMA DE MANTENIMIENTO A INSTALACIONES DE OPERACIÓN DE PLANTAS POTABILIZADORAS EN LA PARTE DE MANTENIMIENTO A SUBESTACIONES ELÉCTRICAS  Y AL  MANTENIMIENTO A SISTEMAS DE LAVADO DE GASES SCRUBBER </t>
  </si>
  <si>
    <t>Indicado de ingresos Pueblo Yaqui</t>
  </si>
  <si>
    <t>Indicado de ingresos Esperanza</t>
  </si>
  <si>
    <t>Indicado de ingresos Marte R. Gómez</t>
  </si>
  <si>
    <t>Indicado de ingresos Providencia</t>
  </si>
  <si>
    <t>Indicado de ingresos Dir. Comercial</t>
  </si>
  <si>
    <t>No se cumplió con el procedimiento de "atención a reportes de mantenimiento de redes OOMPTS-06"</t>
  </si>
  <si>
    <t>No es totalmente eficaz ya que no se encontro evidencia de las actividades y registro del procedimiento OOMPTS-20 verificacion de macromedidores en sistemas suburbanos OOMRTS-41.</t>
  </si>
  <si>
    <t>Auditoría #10</t>
  </si>
  <si>
    <t>Se mando correo a Mario M. y Ana K 24/03/2026</t>
  </si>
  <si>
    <t>No es totalmente eficaz los criterios de acciones correctivas</t>
  </si>
  <si>
    <t>Acciones Correctivas Criterio</t>
  </si>
  <si>
    <t>No es totalmente eficaz la determinación e interacción de los procesos del Sistema de 
Gestión de Calidad, con el área Jurídica, ya que se encontró participación de sus 
procedimientos con el proceso de Gestión de Recursos. Debido a lo anterior, el Sistema de 
Gestión de Calidad debe determinar y aplicar los criterios y/o métodos necesarios para 
asegurarse de una correcta interacción y control de todos sus procesos, así como asignar las 
responsabilidades y autoridades para cada proceso, por lo que es necesario realizar una 
revisión exhaustiva de la participación de cada área del organismo con los procesos del 
sistema de gestión de calidad.</t>
  </si>
  <si>
    <t>Abierta</t>
  </si>
  <si>
    <t>Auditoría #2</t>
  </si>
  <si>
    <t>Carbón activado granular con mal manejo en su preservación</t>
  </si>
  <si>
    <t>Auditoría #11</t>
  </si>
  <si>
    <t>NO ES TOTALMENTE EFICAZ LA PLANIFICACION Y EJECUCIÓN DE AUDITORIAS INTERNAS. NO FUE AUDITADO EL PROCESO DE MEDICION, ANALISIS Y MEJORA EN DIC 2024 Y SE LLEVARÁ A CABO EN ENERO 2025. ASI MISMO, RESPONSABILIDAD DE LA DIRECCIÓN NO SE AUDITÓ EN OCTUBRE, SE IRÁ A ENERO 2025. ESTOS CAMBIOS NO FUERON MENCIONADOS O REPROGRAMADOS EN EL CALENDARIO DE AUDITORIAS SGC ISO 9001:2015 AÑO 2024</t>
  </si>
  <si>
    <t>Requisito: 8.4 Control de los procesos, productos y servicios suministrados externamente
No es totalmente efectiva la trazabilidad de los materiales al momento de su recepción
Se observa que el documento “Verificador de Entrega en Almacén OOMRRM-32” para los proveedores
-Equipos y Productos Químicos del Noroeste SA de CV (producto cloro gas)
-Distribuidora Química de Sonora (producto carbón activado en polvo)
-Comercializadora y Logística AMICA (producto Hipoclorito de sodio concentración mínima)
Tienen fechas estimadas de entrega y liberación de los meses de noviembre y diciembre de 2025</t>
  </si>
  <si>
    <t>No se cuenta con evidencia objetiva de la bitacora de mantenimiento preventivo y toma de parametros de sistemas suburbanos OOMRTS-36 para el mes de noviembre 2024.</t>
  </si>
  <si>
    <t>Análsis para modificar los registros</t>
  </si>
  <si>
    <t>Indicador Mantenimiento de redes</t>
  </si>
  <si>
    <t>10.1 – Sistema de gestión de calidad
No es totalmente eficaz el control y seguimiento de la información en el Estado de Acciones y 
mejoras del SGC, debido a que en este solo se indicaba abierta la AC19/2024 replanteada 
con fecha de vencimiento al 21 de agosto de 2025; y en carpeta del área de encontraban 11 
mejoras y acciones abiertas y vencidas (3 mejoras 2023 y 2 mejoras 2024; 2 acciones 2023 y 
4 acciones 2024). Por lo que es necesario actualizar el estado de acciones y mejoras, así
como las carpetas de cada una de las áreas con las evidencias, replanteos y cierres 
correspondientes, debido a la perdida de información. Además, se sugiere enviar por correo a 
los responsables de área el cierre de sus acciones y mejoras para contar con un respaldo de 
los cierres en caso de pérdida de información.</t>
  </si>
  <si>
    <t>Auditoría #3</t>
  </si>
  <si>
    <t>No se esta llevando a cabo lo que tienen declarado en el OOMPSC-05 Revisión por la Dirección, ya que no se esta cumpliendo con los puntos que menciona dicho documento, no se mostro evidencia de las reuniones de la Revisión por la Dirección.</t>
  </si>
  <si>
    <t>12/08/2025</t>
  </si>
  <si>
    <t>No se cumplió con el indicador de eficiencia física</t>
  </si>
  <si>
    <t>NO ES TOTALMENTE EFICAZ EL CONTROL DE LA INFORMACION  DOCUMENTADA, YA QUE NO SE ENCUENTRA DOCUMENTADO EN LOS PROCEDIMIENTOS LAS FUNCIONES Y RESPONSABILIDAADES DEL PUESTO DE SUPERVISOR DE SERVICIOS OOMRRH-09 646 ADSCRITO A LA GERENCIA EN NOVIEMBRE DEL 2024</t>
  </si>
  <si>
    <t xml:space="preserve">NO SE ENCONTRÓ EVIDENCIA DE SEGUIMIENTO DE LA PERCEPCION DE LA SATISFACCION DE LOS USUARIOS DEL GRADO EN QUE SE CUMPLEN SUS NECESIDADES Y ESPECTATIVAS DE LOS SERVICIOS ADSCRITOS EN EL DOCUMENTO OOMRMR-01 </t>
  </si>
  <si>
    <t>No se encontró evidencia de los equipos de medición de lecturas de parámetros, ya que no se encuentran calibrados desde el 2024, y actualmente utilizan equipos propios del personal, mismos que no están calibrados ni registrados. Por lo tanto, los registros actualmente se están llenando con datos resultantes de formulas calculadas por los mismos empleados, arrojando información aparente y no la situación real del equipo de revisión.
Esto se ha venido presentando por situaciones ajenas al departamento,</t>
  </si>
  <si>
    <t>No es totalmente eficaz el manejo del catalogo de equipos de plantas OOMRPP-27, ya que no se encuentra actualizada la fecha de adquisición de los equipos.
Por otro lado, se identifico que el programa anual de mantenimiento preventivo OOMRPP-28, no coincide con el periodo de mantenimiento señalado en el catalogo de equipos de plantas OOMRPP-27, ya que difiere del tiempo indicado en uno y otro.</t>
  </si>
  <si>
    <t>30/07/25</t>
  </si>
  <si>
    <t>7.4 Comunicación - Recursos Humanos 
No es totalmente eficaz la comunicación de la mtriz de proceso de comunicación</t>
  </si>
  <si>
    <t>se mando correo a erika acosta 04/11/2025</t>
  </si>
  <si>
    <t>18/11/2025</t>
  </si>
  <si>
    <t>No se encontró evidencia de la determinación de olor y sabor del agua como Io establece El documento OOMPTS-17 en la planta potabilizadora de Providencia. Solicite prueba en el momento de la auditoría y no funciono el plato caliente (parrilla). Documento OOMRTS-28 muestra que en el mes de agosto no se ha realizado la determinación de olor y el sabor.</t>
  </si>
  <si>
    <t>Auditioría #5</t>
  </si>
  <si>
    <t>se mando correo a mario mendoza 26/08/2025</t>
  </si>
  <si>
    <t>09/09/2025</t>
  </si>
  <si>
    <t>11/09/2025</t>
  </si>
  <si>
    <t>No se cumplio con el indice de atencion a reportes suburbanos, cumplir con el 100% de atencion a reportes recibidos durante el mes de agosto</t>
  </si>
  <si>
    <t>22/12/2025</t>
  </si>
  <si>
    <t>23/12/2025</t>
  </si>
  <si>
    <t>NO SE ENCONTRO EVIDENCIA DE REUNIONES DE LA GERENCIA Y DE LO QUE SE TIENE DECLARADO EN LA MATRIZ DE COMUNICACIÓN DEL ORGANISMO</t>
  </si>
  <si>
    <t>Auditoría #8</t>
  </si>
  <si>
    <t>21/01/2026</t>
  </si>
  <si>
    <t>No es conforme el control de documentos ya que se encontró que la mayoría de los registros que se están utilizando son revisiones anteriores y no la versión actual, como ejemplo se anexa copia de registro OOMRSO-03 Rev. 02 en el 2023 y en el año 2025 se está utilizando la Rev. 02, por ello se pide une revisión exhaustiva de todos sus registros para asegurar que se utilicen los actuales y de igual forma se verifique el cumplir con el tiempo de retención de los mismos que se encuentra declarado en listas maestras de registros de supervisión y control de obras.</t>
  </si>
  <si>
    <t>en cierre por karina pidio mas informacion para el cierre 28/01/2026</t>
  </si>
  <si>
    <t>No es totalmente eficaz ya que no se esta llevando a cabo el procedimiento OOMPIS-02 Procedimiento de supervision de obras en materia de seguridad, por lo que el registro OOMRIS-03 Formato de supervision de obras No se esta cumpliendo.</t>
  </si>
  <si>
    <t>Actualmente el procedimiento OOMPGS-09 PROGRAMA DE MANTENIMIENTO DE PLANTAS TRATADORAS Y CARCAMOS DE BOMBEO DE AGUA RESIDUAL, no se encuentra totalmente actualizado para la adecuada realización de las actividades del Coordinador electromecánico de cárcamos y plantas tratadoras. Es necesario atender estas recomendaciones:</t>
  </si>
  <si>
    <t xml:space="preserve">Actualemente el procedimiento  OOMPGS-04 SUPERVISOR DE PLANTAS TRATADORAS DE AGUA RESIDUAL, no se encuentra totalmente actualizado para la adecuada realizacion de las actividades de supervisor de plantas tratadoras , es necesario  atender estas recomendaciones:  1. Mencion del convenio con CONAGUA para la regularizacion de las NOM-001-SEMARNAT-1996 a la NOM-001-SEMANARNAT-2021 (la mas actua). 2. Mencion de la comunicacion de resultados con el area de tramites tecnicos. 3. Revisar parametros de cumplimiento con el tratamiento de agua residual sin el metodo de cloracion en planta suburbanas. 4. Mencion de los equipos necesarios para seguridad. 5.Identifiacacion clara e independiente de las actividades del operador de planta de agua residual y auxiliar de operador de planta de agua residuales. </t>
  </si>
  <si>
    <t>Guardia seguridad</t>
  </si>
  <si>
    <t xml:space="preserve">se mando correo aurelio V. y cristian f. </t>
  </si>
  <si>
    <t>AVM-01</t>
  </si>
  <si>
    <t>EL REGISTRO ACTUAL DE ACCION CORRECTIVA NO INLCLUYE SI ES NECESARIO REVISAR Y ACTUALIZAR LOS RIESGOS Y OPORTUNIDADES DEL PROCESO U OTROS PROCESOS DEL SGC, ASI TAMBIEN NO CITA SI ES NECESARIO REALIZAR CAMBIOS AL SGC Y SI LA DESVIACION PUEDE REPERCUTIR EN OTROS PROCESOS DEL SGC</t>
  </si>
  <si>
    <t xml:space="preserve">Auditoría Externa </t>
  </si>
  <si>
    <t>A2025-15985 PJR-2025</t>
  </si>
  <si>
    <t>26/12/25</t>
  </si>
  <si>
    <t>AVM-02</t>
  </si>
  <si>
    <t>NO SE OBSERVA EN EL PROGRAMA DE AUDITORIAS INTERNAS QUE SE CONSIDEREN LOS CAMBIOS QUE AFECTEN A LA ORGANIZACIÓN APLICABLES A LA ORGANIZACIÓN, ASI MISMO NO SE PRESENTA EVIDENCIA DE LA MISMA IMPORTANCIA DE LOS PROCESOS PARA LA PLANIFICACION DE AUDITORIAS.</t>
  </si>
  <si>
    <t>AVM-03</t>
  </si>
  <si>
    <t>a) La planificación de riesgos de auditoria interna cita 3 riesgos( contingencias ambientales, contingencias  de seguridad y mala planificacion) sin embargo, estos no se incluyeron en la matriz de riesgos OOMRSC-37 de revision 06 vigente, para su gestion eficaz.                                                                                                           b) No presenta evidencia objetiva de la evaluacion de la eficacia de las acciones para abordar riesgos y oportunidades de 2024.</t>
  </si>
  <si>
    <t>AVM-04</t>
  </si>
  <si>
    <t>8.4 CONTROL DE LOS PROCESOS, PRODUCTOS Y SERVICIOS ADMINISTRATIVOS EXTERNAMENTE                                                                                                                                                                                                                                                                                                                                                                                                                                                                     *   NO SE OBSERVA LA DOCUMENTACION EN EL PROCEDIMIENTO OOMPRM-03 "VALIDACION, INSCRIPCION Y EVALUACIÓN DE PROVEEDORES" DEL REGISTRO  CON CODIGO OOMRRM-10 DE REVISION 07 "INFORME DE PROVEEDORES", PARA EL CASO DE LA SELECCIÓN DE VARIOS PROVEEDORES REVISADOS (DISTRIBUIDORA QUIMICA DE SONORA, CLIMATIZACION Y EDITORIAL EL AUTENTICO, ENTRE OTROS.                                                                                         *  NO SE PRESENTA EVIDENCIA OBJETIVA DE LSO REGISTROS RELACIONADOS CON VISITAS EN SUS INSTALACIONESDE PROVEEDORES DEL AÑO 2024 Y LO QUE VA DEL 2025 (PROGRAMA ANUAL DE CONTROL ADMINISTRATIVO OOMROC-16).</t>
  </si>
  <si>
    <t>AVM-05</t>
  </si>
  <si>
    <t>Requisito 4.3 Determinación del alcance del sistema de gestión de la calidad
La declaración de la no aplicabilidad no es totalmente eficaz.
Se observa la no aplicabilidad parcial del requisito 8.4.1 (f), sin embargo, no se presenta evidencia de la exclusión y su justificación.</t>
  </si>
  <si>
    <t>AVM-06</t>
  </si>
  <si>
    <t xml:space="preserve">No se presenta evidencia objetiva de las habilidades citadas en la descripción de puestos para el caso del electromecanico, Jose Alberto Encinas Garcia(Descripcion de puestos OOMRRH-09-REV04) - Capacidad de alto nivel de actividad - Capacidad de seguimiento -Necesidad de terminar lo que se inicia - habilidad de organización </t>
  </si>
  <si>
    <t>AVM-07</t>
  </si>
  <si>
    <t>Requisito 4.2 Comprensión de las necesidades y expectativas de las partes interesadas.
El cumplimiento de los requisitos de las partes interesadas, no es totalmente eficaz.
Se observa el uso de logo y leyenda de la certificación la cual se utiliza en gafetes del personal de la empresa (188 personas), sin embargo, no se presenta evidencia de la autorización de pjr de acuerdo con procedimiento pro-003 vigente de pjr.</t>
  </si>
  <si>
    <t>AVM-08</t>
  </si>
  <si>
    <t>NO SE PRESENTA EVIDENCIA OBJETIVA SUFICIENTE DE LA CONCIENTIZACIÓN DEL PERSONAL Y REFERENTE A CÓMO CONTRIBUYEN A LA EFICACIA DEL SGC Y SU MEJORA Y LAS IMPLICACIONES DE NO CUMPLIR LOS REQUISITOS DEL SGC.</t>
  </si>
  <si>
    <t>Indicador Ingresos</t>
  </si>
  <si>
    <t>Programa de mantemiento</t>
  </si>
  <si>
    <t xml:space="preserve">Se identifico que el control de los camnios en los requisitos aplicables al parameto de turbiedad no es totalmente eficaz, ya que existe inconsistencia entre la información documentada en el procedimiento OOMPPP-05, donde se establece  un limite de 4 NTU en el parámetro de turbiedad y la NOM-127-SSA1, indica en el punto 5. Especificaciones sanitarias, que el límite permisible para turbiedad sera de 3.0 NTU a partir del segundo año posterior a la entrada en vigor de la presente Norma. (entro en vigor el 27 de abril 2023.)                                                                                                     </t>
  </si>
  <si>
    <t xml:space="preserve">No es totalmente eficaz el control de proceso no conforme ya que en el procedimiento OOMPPP-05, el punto 10 no se da cumplimiento a lo establecido con el estandar de turbiedad.                                                                                                          </t>
  </si>
  <si>
    <t>Equipos para dar de baja</t>
  </si>
  <si>
    <t>Pozos fuera de servicio</t>
  </si>
  <si>
    <t>*</t>
  </si>
  <si>
    <t>Recursos materiales para abajo</t>
  </si>
  <si>
    <t>formato</t>
  </si>
  <si>
    <t>Estatus</t>
  </si>
  <si>
    <t>comunicación</t>
  </si>
  <si>
    <t>ac#12-2024</t>
  </si>
  <si>
    <t>falta hoja de cierre</t>
  </si>
  <si>
    <t>En revisión por adaliz</t>
  </si>
  <si>
    <t>ac#13-2024</t>
  </si>
  <si>
    <t>ok</t>
  </si>
  <si>
    <t>ac#04-2024</t>
  </si>
  <si>
    <t>om#53-2023</t>
  </si>
  <si>
    <t>om#70-2023</t>
  </si>
  <si>
    <t>om#62-2024</t>
  </si>
  <si>
    <t>TERCERA MEJROA falta hoja de cierre</t>
  </si>
  <si>
    <t>Control y servicios</t>
  </si>
  <si>
    <t>Ac#58-2023 indicador/ revisar carpeta 2024</t>
  </si>
  <si>
    <t>falta hoja de cierre erika</t>
  </si>
  <si>
    <t>OK</t>
  </si>
  <si>
    <t>om#34-2023</t>
  </si>
  <si>
    <t>falta hoja de cierre Nadia</t>
  </si>
  <si>
    <t>om#23-2024</t>
  </si>
  <si>
    <t>falta hoja de cierre Héctor</t>
  </si>
  <si>
    <t xml:space="preserve">Licitaciones </t>
  </si>
  <si>
    <t>OM#34-2024 segunda</t>
  </si>
  <si>
    <t>OM#15-2024 primera</t>
  </si>
  <si>
    <t>Mantenimiento y servicios</t>
  </si>
  <si>
    <t>Primera mejora 2023</t>
  </si>
  <si>
    <t>en revisión por Jazmin</t>
  </si>
  <si>
    <t>Tercera mejora 2024</t>
  </si>
  <si>
    <t>indicador evaluacion unidades administrativas</t>
  </si>
  <si>
    <t>falta hojas de cierre Mario mendoza</t>
  </si>
  <si>
    <t>en revisión por Evelyn</t>
  </si>
  <si>
    <t>primera mejora 2023</t>
  </si>
  <si>
    <t>falta hoja de registro y cierre</t>
  </si>
  <si>
    <t>Padrón de usuarios</t>
  </si>
  <si>
    <t>AC#21-2023</t>
  </si>
  <si>
    <t>falta hoja de cierre Gladys</t>
  </si>
  <si>
    <t>en revisión por Linda Alvarez</t>
  </si>
  <si>
    <t>Segunda mejora 2023</t>
  </si>
  <si>
    <t>primera mejora 2024</t>
  </si>
  <si>
    <t>segunda mejora 2024</t>
  </si>
  <si>
    <t>no hay documentación</t>
  </si>
  <si>
    <t>AC#29-2023</t>
  </si>
  <si>
    <t>en revisión por aracely</t>
  </si>
  <si>
    <t>AC#30-2023</t>
  </si>
  <si>
    <t>3ra mejora 2023</t>
  </si>
  <si>
    <t>mejora por auditoría</t>
  </si>
  <si>
    <t xml:space="preserve">Acción  aud.7 calibración </t>
  </si>
  <si>
    <t>sin documentos</t>
  </si>
  <si>
    <t>Acción  aud.7 mantenimiento</t>
  </si>
  <si>
    <t>Segunda mejora 2024</t>
  </si>
  <si>
    <t>Mejora por auditoría 04-2024</t>
  </si>
  <si>
    <t>falta documentación</t>
  </si>
  <si>
    <t>Proyectos e infraestructura</t>
  </si>
  <si>
    <t>en revisión por Manuel Enriquez</t>
  </si>
  <si>
    <t>Pirmera mejora 2025</t>
  </si>
  <si>
    <t>falta actualización</t>
  </si>
  <si>
    <t>Área:</t>
  </si>
  <si>
    <t>plantas potabilizadoras</t>
  </si>
  <si>
    <t>FECHA APERTURA</t>
  </si>
  <si>
    <t>FECHA CIERRE</t>
  </si>
  <si>
    <t>AC#17\2025</t>
  </si>
  <si>
    <t>AC#20\2025</t>
  </si>
  <si>
    <t>AC#21\2025</t>
  </si>
  <si>
    <t>AC#6\2026</t>
  </si>
  <si>
    <t>aracely galvez</t>
  </si>
  <si>
    <t>AC#7\2026</t>
  </si>
  <si>
    <t>AC#8\2026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</si>
</sst>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ed]\▼#,##0"/>
    <numFmt numFmtId="165" formatCode="0.0000000%"/>
    <numFmt numFmtId="166" formatCode="0;;"/>
  </numFmts>
  <fonts count="51">
    <font>
      <sz val="11"/>
      <color theme="1"/>
      <name val="Century Gothic"/>
      <family val="2"/>
      <scheme val="minor"/>
    </font>
    <font>
      <sz val="8"/>
      <color theme="1"/>
      <name val="Segoe UI"/>
      <family val="2"/>
    </font>
    <font>
      <b/>
      <sz val="8"/>
      <color theme="0"/>
      <name val="Segoe UI"/>
      <family val="2"/>
    </font>
    <font>
      <sz val="10"/>
      <color theme="1"/>
      <name val="Segoe UI"/>
      <family val="2"/>
    </font>
    <font>
      <sz val="8"/>
      <color theme="1" tint="0.14999847407452621"/>
      <name val="Segoe UI"/>
      <family val="2"/>
    </font>
    <font>
      <sz val="8"/>
      <color theme="1"/>
      <name val="Century Gothic"/>
      <family val="2"/>
      <scheme val="minor"/>
    </font>
    <font>
      <sz val="12"/>
      <name val="Segoe UI"/>
      <family val="2"/>
    </font>
    <font>
      <sz val="11"/>
      <color theme="1"/>
      <name val="Segoe UI"/>
      <family val="2"/>
    </font>
    <font>
      <b/>
      <sz val="10"/>
      <color theme="0"/>
      <name val="Segoe UI"/>
      <family val="2"/>
    </font>
    <font>
      <sz val="14"/>
      <color theme="1"/>
      <name val="Segoe UI"/>
      <family val="2"/>
    </font>
    <font>
      <b/>
      <sz val="10"/>
      <name val="Segoe UI"/>
      <family val="2"/>
    </font>
    <font>
      <sz val="11"/>
      <color theme="1"/>
      <name val="Century Gothic"/>
      <family val="2"/>
      <scheme val="minor"/>
    </font>
    <font>
      <b/>
      <sz val="26"/>
      <color theme="1"/>
      <name val="Century Gothic"/>
      <family val="2"/>
      <scheme val="minor"/>
    </font>
    <font>
      <b/>
      <sz val="18"/>
      <color theme="1"/>
      <name val="Century Gothic"/>
      <family val="2"/>
      <scheme val="minor"/>
    </font>
    <font>
      <sz val="18"/>
      <color theme="1"/>
      <name val="Century Gothic"/>
      <family val="2"/>
      <scheme val="minor"/>
    </font>
    <font>
      <b/>
      <sz val="18"/>
      <color theme="0"/>
      <name val="Segoe UI"/>
      <family val="2"/>
    </font>
    <font>
      <b/>
      <sz val="20"/>
      <color theme="0"/>
      <name val="Segoe UI"/>
      <family val="2"/>
    </font>
    <font>
      <sz val="28"/>
      <color theme="1"/>
      <name val="Century Gothic"/>
      <family val="2"/>
      <scheme val="minor"/>
    </font>
    <font>
      <b/>
      <sz val="14"/>
      <color theme="1"/>
      <name val="Century Gothic"/>
      <family val="2"/>
      <scheme val="minor"/>
    </font>
    <font>
      <sz val="14"/>
      <color theme="1"/>
      <name val="Century Gothic"/>
      <family val="2"/>
      <scheme val="minor"/>
    </font>
    <font>
      <sz val="14"/>
      <color rgb="FFC00000"/>
      <name val="Century Gothic"/>
      <family val="2"/>
      <scheme val="minor"/>
    </font>
    <font>
      <sz val="14"/>
      <color rgb="FF00B050"/>
      <name val="Century Gothic"/>
      <family val="2"/>
      <scheme val="minor"/>
    </font>
    <font>
      <b/>
      <sz val="16"/>
      <color theme="1"/>
      <name val="Century Gothic"/>
      <family val="2"/>
      <scheme val="minor"/>
    </font>
    <font>
      <b/>
      <sz val="20"/>
      <color theme="1"/>
      <name val="Century Gothic"/>
      <family val="2"/>
      <scheme val="minor"/>
    </font>
    <font>
      <sz val="8"/>
      <name val="Segoe UI"/>
      <family val="2"/>
    </font>
    <font>
      <sz val="8"/>
      <color rgb="FF262626"/>
      <name val="Segoe UI"/>
      <family val="2"/>
    </font>
    <font>
      <b/>
      <sz val="28"/>
      <color theme="1"/>
      <name val="Segoe UI"/>
      <family val="2"/>
    </font>
    <font>
      <b/>
      <sz val="22"/>
      <color theme="1"/>
      <name val="Segoe UI"/>
      <family val="2"/>
    </font>
    <font>
      <sz val="28"/>
      <color theme="1"/>
      <name val="Segoe UI"/>
      <family val="2"/>
    </font>
    <font>
      <sz val="20"/>
      <color theme="1"/>
      <name val="Segoe UI"/>
      <family val="2"/>
    </font>
    <font>
      <sz val="16"/>
      <color theme="1"/>
      <name val="Segoe UI"/>
      <family val="2"/>
    </font>
    <font>
      <b/>
      <sz val="48"/>
      <color theme="1"/>
      <name val="Segoe UI"/>
      <family val="2"/>
    </font>
    <font>
      <b/>
      <sz val="18"/>
      <color theme="1"/>
      <name val="Segoe UI"/>
      <family val="2"/>
    </font>
    <font>
      <sz val="18"/>
      <color theme="1"/>
      <name val="Segoe UI"/>
      <family val="2"/>
    </font>
    <font>
      <b/>
      <sz val="18"/>
      <color rgb="FFFF0000"/>
      <name val="Segoe UI"/>
      <family val="2"/>
    </font>
    <font>
      <b/>
      <sz val="18"/>
      <color rgb="FF00CC00"/>
      <name val="Segoe UI"/>
      <family val="2"/>
    </font>
    <font>
      <sz val="12"/>
      <color theme="1"/>
      <name val="Century Gothic"/>
      <family val="2"/>
      <scheme val="minor"/>
    </font>
    <font>
      <b/>
      <sz val="11"/>
      <color theme="1"/>
      <name val="Segoe UI"/>
      <family val="2"/>
    </font>
    <font>
      <i/>
      <sz val="11"/>
      <color theme="1"/>
      <name val="Segoe UI"/>
      <family val="2"/>
    </font>
    <font>
      <b/>
      <sz val="26"/>
      <color theme="1"/>
      <name val="Segoe UI"/>
      <family val="2"/>
    </font>
    <font>
      <sz val="26"/>
      <color theme="1"/>
      <name val="Segoe UI"/>
      <family val="2"/>
    </font>
    <font>
      <b/>
      <sz val="14"/>
      <color theme="1"/>
      <name val="Segoe UI"/>
      <family val="2"/>
    </font>
    <font>
      <sz val="8"/>
      <name val="Century Gothic"/>
      <family val="2"/>
      <scheme val="minor"/>
    </font>
    <font>
      <b/>
      <sz val="12"/>
      <color theme="0"/>
      <name val="Segoe UI"/>
      <family val="2"/>
    </font>
    <font>
      <b/>
      <sz val="10"/>
      <color rgb="FFFF0000"/>
      <name val="Segoe UI"/>
      <family val="2"/>
    </font>
    <font>
      <sz val="12"/>
      <color rgb="FFFF0000"/>
      <name val="Segoe UI"/>
      <family val="2"/>
    </font>
    <font>
      <b/>
      <sz val="9"/>
      <color theme="1" tint="0.14999847407452621"/>
      <name val="Segoe UI"/>
      <family val="2"/>
    </font>
    <font>
      <b/>
      <sz val="11"/>
      <color theme="1"/>
      <name val="Century Gothic"/>
      <family val="2"/>
      <scheme val="minor"/>
    </font>
    <font>
      <sz val="16"/>
      <color theme="1"/>
      <name val="Century Gothic"/>
      <family val="2"/>
      <scheme val="minor"/>
    </font>
    <font>
      <b/>
      <sz val="10"/>
      <color theme="1"/>
      <name val="Segoe UI"/>
      <family val="2"/>
    </font>
    <font>
      <u/>
      <sz val="11"/>
      <color theme="10"/>
      <name val="Century Gothic"/>
      <family val="2"/>
      <scheme val="minor"/>
    </font>
  </fonts>
  <fills count="5">
    <fill>
      <patternFill patternType="none"/>
    </fill>
    <fill>
      <patternFill patternType="gray125"/>
    </fill>
    <fill>
      <patternFill patternType="solid">
        <fgColor rgb="FF002060"/>
        <bgColor indexed="64"/>
      </patternFill>
    </fill>
    <fill>
      <patternFill patternType="solid">
        <fgColor theme="4"/>
        <bgColor theme="4"/>
      </patternFill>
    </fill>
    <fill>
      <patternFill patternType="solid">
        <fgColor rgb="FFCCFFCC"/>
        <bgColor indexed="64"/>
      </patternFill>
    </fill>
  </fills>
  <borders count="2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diagonal/>
    </border>
    <border>
      <left style="hair">
        <color indexed="64"/>
      </left>
      <right style="thin">
        <color indexed="64"/>
      </right>
      <top style="hair">
        <color indexed="64"/>
      </top>
      <bottom/>
      <diagonal/>
    </border>
    <border>
      <left style="hair">
        <color indexed="64"/>
      </left>
      <right style="thin">
        <color indexed="64"/>
      </right>
      <top/>
      <bottom/>
      <diagonal/>
    </border>
  </borders>
  <cellStyleXfs count="3">
    <xf numFmtId="0" fontId="0" fillId="0" borderId="0"/>
    <xf numFmtId="9" fontId="11" fillId="0" borderId="0" applyFont="0" applyFill="0" applyBorder="0" applyAlignment="0" applyProtection="0"/>
    <xf numFmtId="0" fontId="50" fillId="0" borderId="0" applyNumberFormat="0" applyFill="0" applyBorder="0" applyAlignment="0" applyProtection="0"/>
  </cellStyleXfs>
  <cellXfs count="191">
    <xf numFmtId="0" fontId="0" fillId="0" borderId="0" xfId="0"/>
    <xf numFmtId="15" fontId="2" fillId="0" borderId="1" xfId="0" applyNumberFormat="1" applyFont="1" applyBorder="1" applyAlignment="1">
      <alignment horizontal="center" vertical="center" wrapText="1"/>
    </xf>
    <xf numFmtId="1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64" fontId="6" fillId="0" borderId="0" xfId="0" applyNumberFormat="1" applyFont="1" applyAlignment="1">
      <alignment horizontal="center" vertical="center"/>
    </xf>
    <xf numFmtId="0" fontId="7" fillId="0" borderId="0" xfId="0" applyFont="1"/>
    <xf numFmtId="0" fontId="7" fillId="0" borderId="0" xfId="0" applyFont="1" applyAlignment="1">
      <alignment horizontal="center"/>
    </xf>
    <xf numFmtId="1" fontId="7" fillId="0" borderId="0" xfId="0" applyNumberFormat="1" applyFont="1" applyAlignment="1">
      <alignment vertical="center"/>
    </xf>
    <xf numFmtId="2" fontId="8" fillId="2" borderId="0" xfId="0" applyNumberFormat="1" applyFont="1" applyFill="1" applyAlignment="1">
      <alignment horizontal="center" vertical="center" wrapText="1"/>
    </xf>
    <xf numFmtId="0" fontId="3"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15" fontId="4" fillId="0" borderId="0" xfId="0" applyNumberFormat="1" applyFont="1" applyAlignment="1">
      <alignment horizontal="left" vertical="center"/>
    </xf>
    <xf numFmtId="0" fontId="0" fillId="0" borderId="0" xfId="0" applyAlignment="1">
      <alignment horizontal="center" vertical="center"/>
    </xf>
    <xf numFmtId="14" fontId="4" fillId="0" borderId="0" xfId="0" applyNumberFormat="1" applyFont="1" applyAlignment="1" applyProtection="1">
      <alignment horizontal="left" vertical="center" wrapText="1"/>
      <protection locked="0"/>
    </xf>
    <xf numFmtId="0" fontId="4" fillId="0" borderId="0" xfId="0" applyFont="1" applyAlignment="1" applyProtection="1">
      <alignment horizontal="left" vertical="center" wrapText="1"/>
      <protection locked="0"/>
    </xf>
    <xf numFmtId="15" fontId="4" fillId="0" borderId="0" xfId="0" applyNumberFormat="1" applyFont="1" applyAlignment="1" applyProtection="1">
      <alignment horizontal="left" vertical="center" wrapText="1"/>
      <protection locked="0"/>
    </xf>
    <xf numFmtId="0" fontId="1" fillId="0" borderId="0" xfId="0" applyFont="1" applyAlignment="1" applyProtection="1">
      <alignment horizontal="left" vertical="center" wrapText="1"/>
      <protection locked="0"/>
    </xf>
    <xf numFmtId="49" fontId="4" fillId="0" borderId="0" xfId="0" applyNumberFormat="1" applyFont="1" applyAlignment="1" applyProtection="1">
      <alignment horizontal="left" vertical="center" wrapText="1"/>
      <protection locked="0"/>
    </xf>
    <xf numFmtId="0" fontId="13" fillId="0" borderId="0" xfId="0" applyFont="1" applyAlignment="1">
      <alignment horizontal="center" vertical="center" wrapText="1"/>
    </xf>
    <xf numFmtId="0" fontId="14" fillId="0" borderId="0" xfId="0" applyFont="1" applyAlignment="1">
      <alignment vertical="top" wrapText="1"/>
    </xf>
    <xf numFmtId="15" fontId="14" fillId="0" borderId="0" xfId="0" applyNumberFormat="1" applyFont="1" applyAlignment="1">
      <alignment horizontal="center" vertical="center"/>
    </xf>
    <xf numFmtId="15" fontId="15" fillId="3" borderId="2" xfId="0" applyNumberFormat="1" applyFont="1" applyFill="1" applyBorder="1" applyAlignment="1">
      <alignment horizontal="center" vertical="center"/>
    </xf>
    <xf numFmtId="0" fontId="15" fillId="3" borderId="2" xfId="0" applyFont="1" applyFill="1" applyBorder="1" applyAlignment="1">
      <alignment horizontal="center" vertical="center" wrapText="1"/>
    </xf>
    <xf numFmtId="15" fontId="15" fillId="3" borderId="2" xfId="0" applyNumberFormat="1" applyFont="1" applyFill="1" applyBorder="1" applyAlignment="1">
      <alignment horizontal="center" vertical="center" wrapText="1"/>
    </xf>
    <xf numFmtId="0" fontId="0" fillId="0" borderId="0" xfId="0" applyProtection="1">
      <protection hidden="1"/>
    </xf>
    <xf numFmtId="9" fontId="17" fillId="0" borderId="0" xfId="0" applyNumberFormat="1" applyFont="1"/>
    <xf numFmtId="9" fontId="17" fillId="0" borderId="0" xfId="0" applyNumberFormat="1" applyFont="1" applyProtection="1">
      <protection hidden="1"/>
    </xf>
    <xf numFmtId="0" fontId="0" fillId="4" borderId="0" xfId="0" applyFill="1"/>
    <xf numFmtId="9" fontId="0" fillId="4" borderId="0" xfId="0" applyNumberFormat="1" applyFill="1"/>
    <xf numFmtId="0" fontId="18" fillId="0" borderId="0" xfId="0" applyFont="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wrapText="1"/>
    </xf>
    <xf numFmtId="0" fontId="19" fillId="0" borderId="6" xfId="0" applyFont="1" applyBorder="1" applyAlignment="1">
      <alignment vertical="center" wrapText="1"/>
    </xf>
    <xf numFmtId="0" fontId="18" fillId="0" borderId="6" xfId="0" applyFont="1" applyBorder="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4" xfId="0" applyFont="1" applyBorder="1" applyAlignment="1">
      <alignment horizontal="center" vertical="center"/>
    </xf>
    <xf numFmtId="9" fontId="19" fillId="0" borderId="0" xfId="1" applyFont="1" applyAlignment="1">
      <alignment horizontal="center" vertical="center"/>
    </xf>
    <xf numFmtId="9" fontId="0" fillId="0" borderId="0" xfId="1" applyFont="1"/>
    <xf numFmtId="9" fontId="0" fillId="0" borderId="0" xfId="0" applyNumberFormat="1"/>
    <xf numFmtId="0" fontId="21" fillId="0" borderId="0" xfId="0" applyFont="1" applyAlignment="1">
      <alignment horizontal="center" vertical="center"/>
    </xf>
    <xf numFmtId="0" fontId="19" fillId="0" borderId="8" xfId="0" applyFont="1" applyBorder="1" applyAlignment="1">
      <alignment horizontal="center" vertical="center" wrapText="1"/>
    </xf>
    <xf numFmtId="0" fontId="19" fillId="0" borderId="0" xfId="0" applyFont="1" applyAlignment="1">
      <alignment horizontal="center"/>
    </xf>
    <xf numFmtId="0" fontId="20" fillId="0" borderId="0" xfId="0" applyFont="1" applyAlignment="1">
      <alignment horizontal="center"/>
    </xf>
    <xf numFmtId="0" fontId="21" fillId="0" borderId="4" xfId="0" applyFont="1" applyBorder="1" applyAlignment="1">
      <alignment horizontal="center"/>
    </xf>
    <xf numFmtId="0" fontId="21" fillId="0" borderId="0" xfId="0" applyFont="1" applyAlignment="1">
      <alignment horizontal="center"/>
    </xf>
    <xf numFmtId="15" fontId="0" fillId="0" borderId="0" xfId="0" applyNumberFormat="1"/>
    <xf numFmtId="0" fontId="12" fillId="0" borderId="0" xfId="0" applyFont="1"/>
    <xf numFmtId="165" fontId="0" fillId="0" borderId="0" xfId="1" applyNumberFormat="1" applyFont="1"/>
    <xf numFmtId="0" fontId="23" fillId="0" borderId="0" xfId="0" applyFont="1" applyAlignment="1">
      <alignment vertical="center" wrapText="1"/>
    </xf>
    <xf numFmtId="0" fontId="23" fillId="0" borderId="0" xfId="0" applyFont="1" applyAlignment="1">
      <alignment wrapText="1"/>
    </xf>
    <xf numFmtId="0" fontId="22" fillId="0" borderId="0" xfId="0" applyFont="1"/>
    <xf numFmtId="0" fontId="4" fillId="0" borderId="0" xfId="0" applyFont="1" applyAlignment="1" applyProtection="1">
      <alignment horizontal="center" vertical="center" wrapText="1"/>
      <protection locked="0"/>
    </xf>
    <xf numFmtId="15" fontId="1" fillId="0" borderId="0" xfId="0" applyNumberFormat="1" applyFont="1" applyAlignment="1" applyProtection="1">
      <alignment horizontal="left" vertical="center" wrapText="1"/>
      <protection locked="0"/>
    </xf>
    <xf numFmtId="14" fontId="4" fillId="0" borderId="0" xfId="0" applyNumberFormat="1" applyFont="1" applyAlignment="1" applyProtection="1">
      <alignment horizontal="center" vertical="center" wrapText="1"/>
      <protection locked="0"/>
    </xf>
    <xf numFmtId="15" fontId="4" fillId="0" borderId="0" xfId="0" applyNumberFormat="1" applyFont="1" applyAlignment="1" applyProtection="1">
      <alignment horizontal="center" vertical="center" wrapText="1"/>
      <protection locked="0"/>
    </xf>
    <xf numFmtId="0" fontId="4" fillId="0" borderId="0" xfId="0" applyFont="1" applyAlignment="1">
      <alignment horizontal="center" vertical="center"/>
    </xf>
    <xf numFmtId="15" fontId="24" fillId="0" borderId="0" xfId="0" applyNumberFormat="1" applyFont="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15" fontId="2" fillId="0" borderId="1" xfId="0" applyNumberFormat="1" applyFont="1" applyBorder="1" applyAlignment="1" applyProtection="1">
      <alignment horizontal="center" vertical="center" wrapText="1"/>
      <protection locked="0"/>
    </xf>
    <xf numFmtId="0" fontId="5" fillId="0" borderId="0" xfId="0" applyFont="1" applyAlignment="1" applyProtection="1">
      <alignment horizontal="left" vertical="center" indent="1"/>
      <protection locked="0"/>
    </xf>
    <xf numFmtId="0" fontId="24" fillId="0" borderId="0" xfId="0" applyFont="1" applyAlignment="1" applyProtection="1">
      <alignment horizontal="center" vertical="center"/>
      <protection locked="0"/>
    </xf>
    <xf numFmtId="0" fontId="4" fillId="0" borderId="0" xfId="0" applyFont="1" applyAlignment="1" applyProtection="1">
      <alignment horizontal="left" vertical="center" indent="1"/>
      <protection locked="0"/>
    </xf>
    <xf numFmtId="0" fontId="5" fillId="0" borderId="0" xfId="0" applyFont="1" applyAlignment="1" applyProtection="1">
      <alignment horizontal="center" vertical="center"/>
      <protection locked="0"/>
    </xf>
    <xf numFmtId="0" fontId="4" fillId="0" borderId="0" xfId="0" applyFont="1" applyAlignment="1" applyProtection="1">
      <alignment horizontal="left" vertical="center"/>
      <protection locked="0"/>
    </xf>
    <xf numFmtId="49" fontId="2" fillId="0" borderId="1" xfId="0" applyNumberFormat="1" applyFont="1" applyBorder="1" applyAlignment="1" applyProtection="1">
      <alignment horizontal="center" vertical="center" wrapText="1"/>
      <protection locked="0"/>
    </xf>
    <xf numFmtId="0" fontId="25" fillId="0" borderId="0" xfId="0" applyFont="1" applyAlignment="1">
      <alignment horizontal="left" vertical="center" wrapText="1"/>
    </xf>
    <xf numFmtId="0" fontId="4" fillId="0" borderId="0" xfId="0" applyFont="1" applyAlignment="1">
      <alignment horizontal="center" vertical="center" wrapText="1"/>
    </xf>
    <xf numFmtId="0" fontId="2" fillId="0" borderId="9" xfId="0" applyFont="1" applyBorder="1" applyAlignment="1">
      <alignment horizontal="left" vertical="center" wrapText="1"/>
    </xf>
    <xf numFmtId="9" fontId="7" fillId="2" borderId="3" xfId="0" applyNumberFormat="1" applyFont="1" applyFill="1" applyBorder="1" applyProtection="1">
      <protection hidden="1"/>
    </xf>
    <xf numFmtId="0" fontId="30" fillId="2" borderId="0" xfId="0" applyFont="1" applyFill="1" applyAlignment="1" applyProtection="1">
      <alignment vertical="center" wrapText="1"/>
      <protection hidden="1"/>
    </xf>
    <xf numFmtId="15" fontId="16" fillId="3" borderId="11" xfId="0" applyNumberFormat="1" applyFont="1" applyFill="1" applyBorder="1" applyAlignment="1">
      <alignment horizontal="center" vertical="center"/>
    </xf>
    <xf numFmtId="0" fontId="32" fillId="0" borderId="6" xfId="0" applyFont="1" applyBorder="1" applyAlignment="1" applyProtection="1">
      <alignment horizontal="left" vertical="center"/>
      <protection hidden="1"/>
    </xf>
    <xf numFmtId="0" fontId="33" fillId="0" borderId="7" xfId="0" applyFont="1" applyBorder="1" applyProtection="1">
      <protection hidden="1"/>
    </xf>
    <xf numFmtId="0" fontId="33" fillId="0" borderId="8" xfId="0" applyFont="1" applyBorder="1" applyAlignment="1" applyProtection="1">
      <alignment horizontal="center" vertical="center" wrapText="1"/>
      <protection hidden="1"/>
    </xf>
    <xf numFmtId="0" fontId="33" fillId="0" borderId="6" xfId="0" applyFont="1" applyBorder="1" applyAlignment="1" applyProtection="1">
      <alignment horizontal="center" vertical="center" wrapText="1"/>
      <protection hidden="1"/>
    </xf>
    <xf numFmtId="0" fontId="33" fillId="0" borderId="0" xfId="0" applyFont="1" applyProtection="1">
      <protection hidden="1"/>
    </xf>
    <xf numFmtId="0" fontId="32" fillId="0" borderId="4" xfId="0" applyFont="1" applyBorder="1" applyAlignment="1" applyProtection="1">
      <alignment horizontal="center" vertical="center"/>
      <protection hidden="1"/>
    </xf>
    <xf numFmtId="0" fontId="32" fillId="0" borderId="0" xfId="0" applyFont="1" applyAlignment="1" applyProtection="1">
      <alignment horizontal="center" vertical="center"/>
      <protection hidden="1"/>
    </xf>
    <xf numFmtId="0" fontId="34" fillId="0" borderId="0" xfId="0" applyFont="1" applyAlignment="1" applyProtection="1">
      <alignment horizontal="center" vertical="center"/>
      <protection hidden="1"/>
    </xf>
    <xf numFmtId="0" fontId="35" fillId="0" borderId="4" xfId="0" applyFont="1" applyBorder="1" applyAlignment="1" applyProtection="1">
      <alignment horizontal="center" vertical="center"/>
      <protection hidden="1"/>
    </xf>
    <xf numFmtId="9" fontId="15" fillId="0" borderId="0" xfId="1" applyFont="1" applyFill="1" applyBorder="1" applyAlignment="1" applyProtection="1">
      <alignment horizontal="center" vertical="center"/>
      <protection hidden="1"/>
    </xf>
    <xf numFmtId="0" fontId="33" fillId="0" borderId="0" xfId="0" applyFont="1"/>
    <xf numFmtId="9" fontId="32" fillId="0" borderId="0" xfId="1" applyFont="1" applyFill="1" applyBorder="1" applyAlignment="1" applyProtection="1">
      <alignment horizontal="center" vertical="center"/>
      <protection hidden="1"/>
    </xf>
    <xf numFmtId="0" fontId="32" fillId="0" borderId="6" xfId="0" applyFont="1" applyBorder="1" applyAlignment="1" applyProtection="1">
      <alignment vertical="center"/>
      <protection hidden="1"/>
    </xf>
    <xf numFmtId="0" fontId="32" fillId="0" borderId="0" xfId="0" applyFont="1" applyProtection="1">
      <protection hidden="1"/>
    </xf>
    <xf numFmtId="0" fontId="32" fillId="0" borderId="4" xfId="0" applyFont="1" applyBorder="1" applyAlignment="1" applyProtection="1">
      <alignment horizontal="center"/>
      <protection hidden="1"/>
    </xf>
    <xf numFmtId="9" fontId="34" fillId="0" borderId="0" xfId="1" applyFont="1" applyFill="1" applyBorder="1" applyAlignment="1" applyProtection="1">
      <alignment horizontal="center" vertical="center"/>
      <protection hidden="1"/>
    </xf>
    <xf numFmtId="0" fontId="36" fillId="0" borderId="0" xfId="0" applyFont="1" applyAlignment="1" applyProtection="1">
      <alignment horizontal="center" vertical="center" wrapText="1"/>
      <protection locked="0"/>
    </xf>
    <xf numFmtId="0" fontId="4" fillId="0" borderId="0" xfId="0" applyFont="1" applyAlignment="1" applyProtection="1">
      <alignment horizontal="left" vertical="top" wrapText="1"/>
      <protection locked="0"/>
    </xf>
    <xf numFmtId="14" fontId="2" fillId="0" borderId="1" xfId="0" applyNumberFormat="1" applyFont="1" applyBorder="1" applyAlignment="1" applyProtection="1">
      <alignment horizontal="center" vertical="center" wrapText="1"/>
      <protection locked="0"/>
    </xf>
    <xf numFmtId="14" fontId="4" fillId="0" borderId="0" xfId="0" applyNumberFormat="1" applyFont="1" applyAlignment="1" applyProtection="1">
      <alignment horizontal="center" vertical="center"/>
      <protection locked="0"/>
    </xf>
    <xf numFmtId="0" fontId="39" fillId="0" borderId="0" xfId="0" applyFont="1" applyAlignment="1">
      <alignment horizontal="center"/>
    </xf>
    <xf numFmtId="0" fontId="7" fillId="0" borderId="0" xfId="0" applyFont="1" applyAlignment="1">
      <alignment horizontal="center" vertical="center" wrapText="1"/>
    </xf>
    <xf numFmtId="0" fontId="41" fillId="0" borderId="0" xfId="0" applyFont="1" applyAlignment="1">
      <alignment horizontal="center" vertical="center" wrapText="1"/>
    </xf>
    <xf numFmtId="0" fontId="9" fillId="0" borderId="0" xfId="0" applyFont="1" applyAlignment="1">
      <alignment vertical="center" wrapText="1"/>
    </xf>
    <xf numFmtId="15" fontId="9" fillId="0" borderId="0" xfId="0" applyNumberFormat="1" applyFont="1" applyAlignment="1">
      <alignment horizontal="center" vertical="center"/>
    </xf>
    <xf numFmtId="0" fontId="32" fillId="0" borderId="0" xfId="0" applyFont="1" applyAlignment="1">
      <alignment horizontal="center" vertical="center" wrapText="1"/>
    </xf>
    <xf numFmtId="0" fontId="33" fillId="0" borderId="0" xfId="0" applyFont="1" applyAlignment="1">
      <alignment vertical="center" wrapText="1"/>
    </xf>
    <xf numFmtId="15" fontId="33" fillId="0" borderId="0" xfId="0" applyNumberFormat="1" applyFont="1" applyAlignment="1">
      <alignment horizontal="center"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vertical="center"/>
    </xf>
    <xf numFmtId="15" fontId="33" fillId="0" borderId="0" xfId="0" applyNumberFormat="1" applyFont="1" applyAlignment="1">
      <alignment horizontal="center" vertical="center" wrapText="1"/>
    </xf>
    <xf numFmtId="0" fontId="37" fillId="0" borderId="0" xfId="0" applyFont="1" applyAlignment="1">
      <alignment horizontal="right" vertical="center"/>
    </xf>
    <xf numFmtId="0" fontId="3" fillId="0" borderId="12" xfId="0" applyFont="1" applyBorder="1" applyAlignment="1">
      <alignment horizontal="left" vertical="center" wrapText="1"/>
    </xf>
    <xf numFmtId="0" fontId="15" fillId="0" borderId="6" xfId="0" applyFont="1" applyBorder="1" applyAlignment="1" applyProtection="1">
      <alignment horizontal="center" vertical="center" wrapText="1"/>
      <protection hidden="1"/>
    </xf>
    <xf numFmtId="0" fontId="7" fillId="2" borderId="3" xfId="0" applyFont="1" applyFill="1" applyBorder="1" applyProtection="1">
      <protection hidden="1"/>
    </xf>
    <xf numFmtId="0" fontId="43" fillId="2" borderId="0" xfId="0" applyFont="1" applyFill="1" applyAlignment="1">
      <alignment horizontal="center" vertical="center"/>
    </xf>
    <xf numFmtId="2" fontId="43" fillId="2" borderId="0" xfId="0" applyNumberFormat="1" applyFont="1" applyFill="1" applyAlignment="1">
      <alignment horizontal="center" vertical="center"/>
    </xf>
    <xf numFmtId="0" fontId="44" fillId="0" borderId="0" xfId="0" applyFont="1" applyAlignment="1">
      <alignment horizontal="center" vertical="center"/>
    </xf>
    <xf numFmtId="164" fontId="45" fillId="0" borderId="0" xfId="0" applyNumberFormat="1" applyFont="1" applyAlignment="1">
      <alignment horizontal="center" vertical="center"/>
    </xf>
    <xf numFmtId="0" fontId="46" fillId="0" borderId="0" xfId="0" applyFont="1" applyAlignment="1" applyProtection="1">
      <alignment horizontal="center" vertical="center" wrapText="1"/>
      <protection locked="0"/>
    </xf>
    <xf numFmtId="0" fontId="2" fillId="0" borderId="13" xfId="0" applyFont="1" applyBorder="1" applyAlignment="1">
      <alignment horizontal="left" vertical="center" wrapText="1"/>
    </xf>
    <xf numFmtId="0" fontId="47" fillId="0" borderId="3" xfId="0" applyFont="1" applyBorder="1" applyAlignment="1">
      <alignment horizontal="center"/>
    </xf>
    <xf numFmtId="0" fontId="47" fillId="0" borderId="0" xfId="0" applyFont="1" applyAlignment="1">
      <alignment horizontal="right"/>
    </xf>
    <xf numFmtId="15" fontId="19" fillId="0" borderId="0" xfId="0" applyNumberFormat="1" applyFont="1" applyAlignment="1">
      <alignment horizontal="right"/>
    </xf>
    <xf numFmtId="9" fontId="28" fillId="0" borderId="0" xfId="0" applyNumberFormat="1" applyFont="1" applyAlignment="1" applyProtection="1">
      <alignment horizontal="center" vertical="center"/>
      <protection hidden="1"/>
    </xf>
    <xf numFmtId="14" fontId="0" fillId="0" borderId="0" xfId="0" applyNumberFormat="1" applyAlignment="1">
      <alignment horizontal="center"/>
    </xf>
    <xf numFmtId="0" fontId="0" fillId="0" borderId="0" xfId="0" applyAlignment="1">
      <alignment wrapText="1"/>
    </xf>
    <xf numFmtId="14" fontId="0" fillId="0" borderId="0" xfId="0" applyNumberFormat="1" applyAlignment="1">
      <alignment horizontal="center" vertical="center"/>
    </xf>
    <xf numFmtId="0" fontId="47" fillId="0" borderId="3" xfId="0" applyFont="1" applyBorder="1"/>
    <xf numFmtId="14" fontId="47" fillId="0" borderId="3" xfId="0" applyNumberFormat="1" applyFont="1" applyBorder="1" applyAlignment="1">
      <alignment horizont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wrapText="1"/>
    </xf>
    <xf numFmtId="14" fontId="18" fillId="0" borderId="0" xfId="0" applyNumberFormat="1" applyFont="1" applyAlignment="1">
      <alignment horizontal="left" indent="1"/>
    </xf>
    <xf numFmtId="0" fontId="7" fillId="0" borderId="12" xfId="0" applyFont="1" applyBorder="1"/>
    <xf numFmtId="0" fontId="37" fillId="0" borderId="1" xfId="0" applyFont="1" applyBorder="1" applyAlignment="1">
      <alignment horizontal="center" vertical="center" wrapText="1"/>
    </xf>
    <xf numFmtId="0" fontId="37" fillId="0" borderId="16" xfId="0" applyFont="1" applyBorder="1" applyAlignment="1">
      <alignment horizontal="center" vertical="center" wrapText="1"/>
    </xf>
    <xf numFmtId="0" fontId="3" fillId="0" borderId="16" xfId="0" applyFont="1" applyBorder="1" applyAlignment="1">
      <alignment horizontal="left" vertical="center" wrapText="1"/>
    </xf>
    <xf numFmtId="166" fontId="37" fillId="0" borderId="0" xfId="0" applyNumberFormat="1" applyFont="1" applyAlignment="1">
      <alignment horizontal="center"/>
    </xf>
    <xf numFmtId="0" fontId="37" fillId="0" borderId="3" xfId="0" applyFont="1" applyBorder="1" applyAlignment="1">
      <alignment horizontal="center" vertical="center" wrapText="1"/>
    </xf>
    <xf numFmtId="0" fontId="3" fillId="0" borderId="0" xfId="0" applyFont="1" applyAlignment="1">
      <alignment horizontal="left"/>
    </xf>
    <xf numFmtId="0" fontId="7" fillId="0" borderId="24" xfId="0" applyFont="1" applyBorder="1"/>
    <xf numFmtId="0" fontId="37" fillId="0" borderId="12" xfId="0" applyFont="1" applyBorder="1"/>
    <xf numFmtId="0" fontId="0" fillId="0" borderId="12" xfId="0" applyBorder="1"/>
    <xf numFmtId="0" fontId="32" fillId="0" borderId="0" xfId="0" applyFont="1" applyAlignment="1" applyProtection="1">
      <alignment horizontal="center"/>
      <protection locked="0"/>
    </xf>
    <xf numFmtId="166" fontId="38" fillId="0" borderId="17" xfId="0" applyNumberFormat="1" applyFont="1" applyBorder="1" applyAlignment="1" applyProtection="1">
      <alignment horizontal="center"/>
      <protection hidden="1"/>
    </xf>
    <xf numFmtId="166" fontId="38" fillId="0" borderId="15" xfId="0" applyNumberFormat="1" applyFont="1" applyBorder="1" applyAlignment="1" applyProtection="1">
      <alignment horizontal="center"/>
      <protection hidden="1"/>
    </xf>
    <xf numFmtId="166" fontId="38" fillId="0" borderId="21" xfId="0" applyNumberFormat="1" applyFont="1" applyBorder="1" applyAlignment="1" applyProtection="1">
      <alignment horizontal="center"/>
      <protection hidden="1"/>
    </xf>
    <xf numFmtId="166" fontId="38" fillId="0" borderId="18" xfId="0" applyNumberFormat="1" applyFont="1" applyBorder="1" applyAlignment="1" applyProtection="1">
      <alignment horizontal="center"/>
      <protection hidden="1"/>
    </xf>
    <xf numFmtId="166" fontId="38" fillId="0" borderId="14" xfId="0" applyNumberFormat="1" applyFont="1" applyBorder="1" applyAlignment="1" applyProtection="1">
      <alignment horizontal="center"/>
      <protection hidden="1"/>
    </xf>
    <xf numFmtId="166" fontId="38" fillId="0" borderId="22" xfId="0" applyNumberFormat="1" applyFont="1" applyBorder="1" applyAlignment="1" applyProtection="1">
      <alignment horizontal="center"/>
      <protection hidden="1"/>
    </xf>
    <xf numFmtId="166" fontId="38" fillId="0" borderId="19" xfId="0" applyNumberFormat="1" applyFont="1" applyBorder="1" applyAlignment="1" applyProtection="1">
      <alignment horizontal="center"/>
      <protection hidden="1"/>
    </xf>
    <xf numFmtId="166" fontId="38" fillId="0" borderId="20" xfId="0" applyNumberFormat="1" applyFont="1" applyBorder="1" applyAlignment="1" applyProtection="1">
      <alignment horizontal="center"/>
      <protection hidden="1"/>
    </xf>
    <xf numFmtId="166" fontId="38" fillId="0" borderId="23" xfId="0" applyNumberFormat="1" applyFont="1" applyBorder="1" applyAlignment="1" applyProtection="1">
      <alignment horizontal="center"/>
      <protection hidden="1"/>
    </xf>
    <xf numFmtId="0" fontId="7" fillId="0" borderId="0" xfId="0" applyFont="1" applyProtection="1">
      <protection hidden="1"/>
    </xf>
    <xf numFmtId="0" fontId="7" fillId="0" borderId="12" xfId="0" applyFont="1" applyBorder="1" applyProtection="1">
      <protection hidden="1"/>
    </xf>
    <xf numFmtId="0" fontId="49" fillId="0" borderId="3" xfId="0" applyFont="1" applyBorder="1" applyAlignment="1" applyProtection="1">
      <alignment wrapText="1"/>
      <protection hidden="1"/>
    </xf>
    <xf numFmtId="0" fontId="37" fillId="0" borderId="3" xfId="0" applyFont="1" applyBorder="1" applyProtection="1">
      <protection hidden="1"/>
    </xf>
    <xf numFmtId="0" fontId="7" fillId="0" borderId="3" xfId="0" applyFont="1" applyBorder="1" applyProtection="1">
      <protection hidden="1"/>
    </xf>
    <xf numFmtId="0" fontId="3" fillId="0" borderId="0" xfId="0" applyFont="1" applyAlignment="1" applyProtection="1">
      <alignment horizontal="left"/>
      <protection hidden="1"/>
    </xf>
    <xf numFmtId="14" fontId="4" fillId="0" borderId="0" xfId="0" applyNumberFormat="1" applyFont="1" applyAlignment="1">
      <alignment horizontal="left" vertical="center"/>
    </xf>
    <xf numFmtId="0" fontId="5" fillId="0" borderId="0" xfId="0" applyFont="1" applyAlignment="1">
      <alignment horizontal="center" vertical="center"/>
    </xf>
    <xf numFmtId="0" fontId="24" fillId="0" borderId="0" xfId="0" applyFont="1" applyAlignment="1">
      <alignment horizontal="center" vertical="center"/>
    </xf>
    <xf numFmtId="0" fontId="5" fillId="0" borderId="0" xfId="0" applyFont="1" applyAlignment="1">
      <alignment horizontal="left" vertical="center"/>
    </xf>
    <xf numFmtId="49" fontId="4" fillId="0" borderId="0" xfId="0" applyNumberFormat="1" applyFont="1" applyAlignment="1" applyProtection="1">
      <alignment horizontal="center" vertical="center" wrapText="1"/>
      <protection locked="0"/>
    </xf>
    <xf numFmtId="0" fontId="2" fillId="0" borderId="9" xfId="0" applyFont="1" applyBorder="1" applyAlignment="1">
      <alignment horizontal="center" vertical="center" wrapText="1"/>
    </xf>
    <xf numFmtId="49" fontId="2" fillId="0" borderId="1" xfId="0" applyNumberFormat="1" applyFont="1" applyBorder="1" applyAlignment="1">
      <alignment horizontal="center" vertical="center" wrapText="1"/>
    </xf>
    <xf numFmtId="14" fontId="4" fillId="0" borderId="0" xfId="0" applyNumberFormat="1" applyFont="1" applyAlignment="1">
      <alignment horizontal="left" vertical="center" wrapText="1"/>
    </xf>
    <xf numFmtId="14" fontId="36" fillId="0" borderId="0" xfId="0" applyNumberFormat="1" applyFont="1" applyAlignment="1" applyProtection="1">
      <alignment horizontal="center" vertical="center" wrapText="1"/>
      <protection locked="0"/>
    </xf>
    <xf numFmtId="14" fontId="2" fillId="0" borderId="1" xfId="0" applyNumberFormat="1" applyFont="1" applyBorder="1" applyAlignment="1">
      <alignment horizontal="center" vertical="center" wrapText="1"/>
    </xf>
    <xf numFmtId="0" fontId="50" fillId="0" borderId="0" xfId="2"/>
    <xf numFmtId="14" fontId="5" fillId="0" borderId="0" xfId="0" applyNumberFormat="1" applyFont="1"/>
    <xf numFmtId="0" fontId="0" fillId="0" borderId="2" xfId="0" applyBorder="1" applyAlignment="1">
      <alignment wrapText="1"/>
    </xf>
    <xf numFmtId="14" fontId="5" fillId="0" borderId="2" xfId="0" applyNumberFormat="1" applyFont="1" applyBorder="1" applyAlignment="1">
      <alignment wrapText="1"/>
    </xf>
    <xf numFmtId="0" fontId="31" fillId="0" borderId="3" xfId="0" applyFont="1" applyBorder="1" applyAlignment="1">
      <alignment horizontal="center"/>
    </xf>
    <xf numFmtId="0" fontId="37" fillId="0" borderId="0" xfId="0" applyFont="1" applyAlignment="1">
      <alignment horizontal="left" vertical="top" wrapText="1"/>
    </xf>
    <xf numFmtId="0" fontId="7" fillId="0" borderId="0" xfId="0" applyFont="1" applyAlignment="1">
      <alignment horizontal="left" vertical="top"/>
    </xf>
    <xf numFmtId="0" fontId="7" fillId="0" borderId="4" xfId="0" applyFont="1" applyBorder="1" applyAlignment="1">
      <alignment horizontal="left" vertical="top"/>
    </xf>
    <xf numFmtId="0" fontId="40" fillId="0" borderId="10" xfId="0" applyFont="1" applyBorder="1" applyAlignment="1" applyProtection="1">
      <alignment horizontal="center" vertical="center" wrapText="1"/>
      <protection locked="0"/>
    </xf>
    <xf numFmtId="0" fontId="40" fillId="0" borderId="5" xfId="0" applyFont="1" applyBorder="1" applyAlignment="1" applyProtection="1">
      <alignment horizontal="center" vertical="center" wrapText="1"/>
      <protection locked="0"/>
    </xf>
    <xf numFmtId="0" fontId="26" fillId="0" borderId="0" xfId="0" applyFont="1" applyAlignment="1" applyProtection="1">
      <alignment horizontal="center"/>
      <protection hidden="1"/>
    </xf>
    <xf numFmtId="9" fontId="27" fillId="0" borderId="0" xfId="1" applyFont="1" applyAlignment="1" applyProtection="1">
      <alignment horizontal="center" vertical="center"/>
      <protection hidden="1"/>
    </xf>
    <xf numFmtId="0" fontId="29" fillId="0" borderId="0" xfId="0" applyFont="1" applyAlignment="1" applyProtection="1">
      <alignment horizontal="center" vertical="center"/>
      <protection hidden="1"/>
    </xf>
    <xf numFmtId="0" fontId="30" fillId="0" borderId="0" xfId="0" applyFont="1" applyAlignment="1" applyProtection="1">
      <alignment horizontal="center" vertical="center" wrapText="1"/>
      <protection hidden="1"/>
    </xf>
    <xf numFmtId="15" fontId="48" fillId="0" borderId="0" xfId="0" applyNumberFormat="1" applyFont="1" applyAlignment="1">
      <alignment horizontal="center" vertical="center" wrapText="1"/>
    </xf>
    <xf numFmtId="15" fontId="48" fillId="0" borderId="0" xfId="0" applyNumberFormat="1" applyFont="1" applyAlignment="1">
      <alignment horizontal="center" vertical="center"/>
    </xf>
    <xf numFmtId="15" fontId="23" fillId="0" borderId="0" xfId="0" applyNumberFormat="1" applyFont="1" applyAlignment="1">
      <alignment horizontal="center"/>
    </xf>
    <xf numFmtId="0" fontId="7" fillId="0" borderId="25" xfId="0" applyFont="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cellXfs>
  <cellStyles count="3">
    <cellStyle name="Hyperlink" xfId="2" xr:uid="{00000000-000B-0000-0000-000008000000}"/>
    <cellStyle name="Normal" xfId="0" builtinId="0"/>
    <cellStyle name="Porcentaje" xfId="1" builtinId="5"/>
  </cellStyles>
  <dxfs count="196">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19" formatCode="dd/mm/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protection locked="1"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protection locked="1"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0" formatCode="Genera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262626"/>
        <name val="Segoe UI"/>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rgb="FF262626"/>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rgb="FF262626"/>
        <name val="Segoe UI"/>
        <family val="2"/>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rgb="FF000000"/>
        </bottom>
      </border>
    </dxf>
    <dxf>
      <border outline="0">
        <top style="thin">
          <color rgb="FF000000"/>
        </top>
      </border>
    </dxf>
    <dxf>
      <font>
        <b val="0"/>
        <i val="0"/>
        <strike val="0"/>
        <condense val="0"/>
        <extend val="0"/>
        <outline val="0"/>
        <shadow val="0"/>
        <u val="none"/>
        <vertAlign val="baseline"/>
        <sz val="8"/>
        <color rgb="FF262626"/>
        <name val="Segoe UI"/>
        <family val="2"/>
        <scheme val="none"/>
      </font>
      <fill>
        <patternFill patternType="none">
          <fgColor rgb="FF000000"/>
          <bgColor auto="1"/>
        </patternFill>
      </fill>
      <alignment horizontal="left" vertical="center" textRotation="0" wrapText="1" indent="0" justifyLastLine="0" shrinkToFit="0" readingOrder="0"/>
    </dxf>
    <dxf>
      <font>
        <b/>
        <i val="0"/>
        <strike val="0"/>
        <condense val="0"/>
        <extend val="0"/>
        <outline val="0"/>
        <shadow val="0"/>
        <u val="none"/>
        <vertAlign val="baseline"/>
        <sz val="8"/>
        <color theme="0"/>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color theme="1"/>
      </font>
      <fill>
        <patternFill>
          <bgColor rgb="FFFFC000"/>
        </patternFill>
      </fill>
    </dxf>
    <dxf>
      <font>
        <b/>
        <i val="0"/>
        <color theme="0"/>
      </font>
      <fill>
        <patternFill>
          <bgColor rgb="FF008000"/>
        </patternFill>
      </fill>
    </dxf>
    <dxf>
      <font>
        <b/>
        <i val="0"/>
        <color theme="0"/>
      </font>
      <fill>
        <patternFill>
          <bgColor rgb="FFC00000"/>
        </patternFill>
      </fill>
    </dxf>
    <dxf>
      <fill>
        <patternFill patternType="none">
          <bgColor auto="1"/>
        </patternFill>
      </fill>
    </dxf>
    <dxf>
      <font>
        <color theme="1"/>
      </font>
      <fill>
        <patternFill>
          <bgColor rgb="FFFFC000"/>
        </patternFill>
      </fill>
    </dxf>
    <dxf>
      <font>
        <b/>
        <i val="0"/>
      </font>
      <fill>
        <patternFill>
          <bgColor rgb="FFFFC000"/>
        </patternFill>
      </fill>
      <border>
        <bottom style="hair">
          <color auto="1"/>
        </bottom>
        <vertical/>
        <horizontal/>
      </border>
    </dxf>
    <dxf>
      <font>
        <b val="0"/>
        <i val="0"/>
        <strike val="0"/>
        <condense val="0"/>
        <extend val="0"/>
        <outline val="0"/>
        <shadow val="0"/>
        <u val="none"/>
        <vertAlign val="baseline"/>
        <sz val="8"/>
        <color rgb="FF262626"/>
        <name val="Segoe UI"/>
        <family val="2"/>
        <scheme val="none"/>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protection locked="1" hidden="0"/>
    </dxf>
    <dxf>
      <font>
        <b val="0"/>
        <i val="0"/>
        <strike val="0"/>
        <condense val="0"/>
        <extend val="0"/>
        <outline val="0"/>
        <shadow val="0"/>
        <u val="none"/>
        <vertAlign val="baseline"/>
        <sz val="8"/>
        <color theme="1" tint="0.14999847407452621"/>
        <name val="Segoe UI"/>
        <family val="2"/>
        <scheme val="none"/>
      </font>
      <numFmt numFmtId="19" formatCode="dd/mm/yyyy"/>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19" formatCode="dd/mm/yyyy"/>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30" formatCode="@"/>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8"/>
        <color theme="1" tint="0.14999847407452621"/>
        <name val="Segoe UI"/>
        <family val="2"/>
        <scheme val="none"/>
      </font>
      <numFmt numFmtId="20" formatCode="dd\-mmm\-yy"/>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8"/>
        <color theme="1" tint="0.14999847407452621"/>
        <name val="Segoe UI"/>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theme="1" tint="0.14999847407452621"/>
        <name val="Segoe UI"/>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outline="0">
        <bottom style="thin">
          <color rgb="FF000000"/>
        </bottom>
      </border>
    </dxf>
    <dxf>
      <border outline="0">
        <top style="thin">
          <color rgb="FF000000"/>
        </top>
      </border>
    </dxf>
    <dxf>
      <font>
        <b val="0"/>
        <i val="0"/>
        <strike val="0"/>
        <condense val="0"/>
        <extend val="0"/>
        <outline val="0"/>
        <shadow val="0"/>
        <u val="none"/>
        <vertAlign val="baseline"/>
        <sz val="8"/>
        <color rgb="FF262626"/>
        <name val="Segoe UI"/>
        <family val="2"/>
        <scheme val="none"/>
      </font>
      <fill>
        <patternFill patternType="none">
          <fgColor rgb="FF000000"/>
          <bgColor auto="1"/>
        </patternFill>
      </fill>
      <alignment horizontal="left" vertical="center" textRotation="0" wrapText="1" indent="0" justifyLastLine="0" shrinkToFit="0" readingOrder="0"/>
    </dxf>
    <dxf>
      <font>
        <b/>
        <i val="0"/>
        <strike val="0"/>
        <condense val="0"/>
        <extend val="0"/>
        <outline val="0"/>
        <shadow val="0"/>
        <u val="none"/>
        <vertAlign val="baseline"/>
        <sz val="8"/>
        <color theme="0"/>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color theme="0"/>
      </font>
      <fill>
        <patternFill>
          <bgColor rgb="FF008000"/>
        </patternFill>
      </fill>
    </dxf>
    <dxf>
      <font>
        <b/>
        <i val="0"/>
        <color theme="0"/>
      </font>
      <fill>
        <patternFill>
          <bgColor rgb="FFC00000"/>
        </patternFill>
      </fill>
    </dxf>
    <dxf>
      <fill>
        <patternFill patternType="none">
          <bgColor auto="1"/>
        </patternFill>
      </fill>
    </dxf>
    <dxf>
      <font>
        <b/>
        <i val="0"/>
        <color theme="1"/>
      </font>
      <fill>
        <patternFill>
          <bgColor rgb="FFFFC000"/>
        </patternFill>
      </fill>
    </dxf>
    <dxf>
      <font>
        <b/>
        <i val="0"/>
      </font>
      <fill>
        <patternFill>
          <bgColor rgb="FFFFC000"/>
        </patternFill>
      </fill>
    </dxf>
    <dxf>
      <font>
        <color theme="1"/>
      </font>
      <fill>
        <patternFill>
          <bgColor rgb="FFFFC000"/>
        </patternFill>
      </fill>
    </dxf>
    <dxf>
      <font>
        <b/>
        <strike val="0"/>
        <outline val="0"/>
        <shadow val="0"/>
        <u val="none"/>
        <vertAlign val="baseline"/>
        <name val="Segoe UI"/>
        <family val="2"/>
        <scheme val="none"/>
      </font>
      <numFmt numFmtId="0" formatCode="General"/>
      <alignment horizontal="center" vertical="bottom" textRotation="0" wrapText="0" indent="0" justifyLastLine="0" shrinkToFit="0" readingOrder="0"/>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top style="hair">
          <color indexed="64"/>
        </top>
        <bottom style="hair">
          <color indexed="64"/>
        </bottom>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i/>
        <strike val="0"/>
        <outline val="0"/>
        <shadow val="0"/>
        <u val="none"/>
        <vertAlign val="baseline"/>
        <name val="Segoe UI"/>
        <family val="2"/>
        <scheme val="none"/>
      </font>
      <numFmt numFmtId="166" formatCode="0;;"/>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b val="0"/>
        <i val="0"/>
        <strike val="0"/>
        <condense val="0"/>
        <extend val="0"/>
        <outline val="0"/>
        <shadow val="0"/>
        <u val="none"/>
        <vertAlign val="baseline"/>
        <sz val="10"/>
        <color theme="1"/>
        <name val="Segoe UI"/>
        <family val="2"/>
        <scheme val="none"/>
      </font>
      <alignment horizontal="left" vertical="center" textRotation="0" wrapText="1" indent="0" justifyLastLine="0" shrinkToFit="0" readingOrder="0"/>
      <border diagonalUp="0" diagonalDown="0">
        <right style="thin">
          <color indexed="64"/>
        </right>
        <vertical/>
      </border>
    </dxf>
    <dxf>
      <border>
        <bottom style="thin">
          <color indexed="64"/>
        </bottom>
      </border>
    </dxf>
    <dxf>
      <border outline="0">
        <top style="medium">
          <color indexed="64"/>
        </top>
      </border>
    </dxf>
    <dxf>
      <font>
        <strike val="0"/>
        <outline val="0"/>
        <shadow val="0"/>
        <u val="none"/>
        <vertAlign val="baseline"/>
        <name val="Segoe UI"/>
        <family val="2"/>
        <scheme val="none"/>
      </font>
    </dxf>
    <dxf>
      <font>
        <b/>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color theme="1"/>
      </font>
      <fill>
        <patternFill>
          <bgColor rgb="FFFFC000"/>
        </patternFill>
      </fill>
    </dxf>
    <dxf>
      <font>
        <b/>
        <i val="0"/>
        <color theme="0"/>
      </font>
      <fill>
        <patternFill>
          <bgColor rgb="FF00B050"/>
        </patternFill>
      </fill>
    </dxf>
    <dxf>
      <font>
        <b val="0"/>
        <i val="0"/>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B050"/>
        <name val="Century Gothic"/>
        <family val="2"/>
        <scheme val="minor"/>
      </font>
      <alignment horizontal="center"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4"/>
        <color rgb="FFC00000"/>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entury Gothic"/>
        <family val="2"/>
        <scheme val="minor"/>
      </font>
      <alignment horizontal="center" vertical="bottom" textRotation="0" wrapText="0" indent="0" justifyLastLine="0" shrinkToFit="0" readingOrder="0"/>
    </dxf>
    <dxf>
      <border outline="0">
        <bottom style="medium">
          <color indexed="64"/>
        </bottom>
      </border>
    </dxf>
    <dxf>
      <font>
        <b val="0"/>
        <i val="0"/>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B050"/>
        <name val="Century Gothic"/>
        <family val="2"/>
        <scheme val="minor"/>
      </font>
      <numFmt numFmtId="0" formatCode="General"/>
      <alignment horizontal="center"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4"/>
        <color rgb="FFC00000"/>
        <name val="Century Gothic"/>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dxf>
    <dxf>
      <font>
        <color theme="0"/>
      </font>
      <fill>
        <patternFill>
          <bgColor rgb="FFFF0000"/>
        </patternFill>
      </fill>
    </dxf>
    <dxf>
      <font>
        <b/>
        <i val="0"/>
        <color theme="0"/>
      </font>
      <fill>
        <patternFill>
          <bgColor rgb="FF00B050"/>
        </patternFill>
      </fill>
    </dxf>
    <dxf>
      <font>
        <b/>
        <i val="0"/>
        <color theme="1"/>
      </font>
      <fill>
        <patternFill>
          <bgColor rgb="FFFFC000"/>
        </patternFill>
      </fill>
    </dxf>
    <dxf>
      <font>
        <color auto="1"/>
      </font>
      <fill>
        <patternFill patternType="solid">
          <bgColor rgb="FF00B0F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0"/>
        </patternFill>
      </fill>
    </dxf>
    <dxf>
      <font>
        <color theme="0"/>
      </font>
    </dxf>
    <dxf>
      <font>
        <color theme="0"/>
      </font>
      <fill>
        <patternFill>
          <bgColor rgb="FFFF0000"/>
        </patternFill>
      </fill>
    </dxf>
    <dxf>
      <font>
        <b/>
        <i val="0"/>
        <color theme="0"/>
      </font>
      <fill>
        <patternFill>
          <bgColor rgb="FF00B050"/>
        </patternFill>
      </fill>
    </dxf>
    <dxf>
      <font>
        <b/>
        <i val="0"/>
        <color theme="1"/>
      </font>
      <fill>
        <patternFill>
          <bgColor rgb="FFFFC000"/>
        </patternFill>
      </fill>
    </dxf>
    <dxf>
      <font>
        <color auto="1"/>
      </font>
      <fill>
        <patternFill patternType="solid">
          <bgColor rgb="FF00B0F0"/>
        </patternFill>
      </fill>
    </dxf>
    <dxf>
      <font>
        <color theme="0"/>
      </font>
      <fill>
        <patternFill>
          <bgColor theme="0"/>
        </patternFill>
      </fill>
    </dxf>
    <dxf>
      <font>
        <b/>
        <i val="0"/>
        <color theme="1"/>
      </font>
      <fill>
        <patternFill>
          <bgColor rgb="FFFFC000"/>
        </patternFill>
      </fill>
    </dxf>
    <dxf>
      <font>
        <color rgb="FF9C0006"/>
      </font>
      <fill>
        <patternFill>
          <bgColor rgb="FFFFC7CE"/>
        </patternFill>
      </fill>
    </dxf>
    <dxf>
      <font>
        <color theme="0"/>
      </font>
    </dxf>
    <dxf>
      <fill>
        <patternFill>
          <bgColor rgb="FFFFC000"/>
        </patternFill>
      </fill>
    </dxf>
    <dxf>
      <font>
        <b/>
        <i val="0"/>
      </font>
      <fill>
        <patternFill patternType="lightGrid">
          <fgColor theme="7" tint="0.79995117038483843"/>
          <bgColor theme="7" tint="0.39988402966399123"/>
        </patternFill>
      </fill>
    </dxf>
    <dxf>
      <font>
        <color theme="0"/>
      </font>
    </dxf>
    <dxf>
      <font>
        <b/>
        <i val="0"/>
      </font>
      <fill>
        <patternFill patternType="lightGrid">
          <fgColor theme="7" tint="0.79995117038483843"/>
          <bgColor theme="7" tint="0.39988402966399123"/>
        </patternFill>
      </fill>
    </dxf>
    <dxf>
      <font>
        <color theme="0"/>
      </font>
    </dxf>
    <dxf>
      <font>
        <color theme="0"/>
      </font>
    </dxf>
  </dxfs>
  <tableStyles count="0" defaultTableStyle="TableStyleMedium2" defaultPivotStyle="PivotStyleLight16"/>
  <colors>
    <mruColors>
      <color rgb="FF008000"/>
      <color rgb="FF009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89088032576424"/>
          <c:y val="3.8573299027176169E-2"/>
          <c:w val="0.77324483453168391"/>
          <c:h val="0.75781015328975221"/>
        </c:manualLayout>
      </c:layout>
      <c:barChart>
        <c:barDir val="col"/>
        <c:grouping val="clustered"/>
        <c:varyColors val="0"/>
        <c:ser>
          <c:idx val="6"/>
          <c:order val="6"/>
          <c:spPr>
            <a:gradFill flip="none" rotWithShape="1">
              <a:gsLst>
                <a:gs pos="75000">
                  <a:schemeClr val="bg1">
                    <a:lumMod val="95000"/>
                  </a:schemeClr>
                </a:gs>
                <a:gs pos="100000">
                  <a:schemeClr val="bg1"/>
                </a:gs>
                <a:gs pos="26000">
                  <a:srgbClr val="002060"/>
                </a:gs>
              </a:gsLst>
              <a:lin ang="5400000" scaled="1"/>
            </a:gradFill>
            <a:ln>
              <a:gradFill>
                <a:gsLst>
                  <a:gs pos="100000">
                    <a:schemeClr val="accent1">
                      <a:lumMod val="5000"/>
                      <a:lumOff val="95000"/>
                    </a:schemeClr>
                  </a:gs>
                  <a:gs pos="0">
                    <a:srgbClr val="008000"/>
                  </a:gs>
                </a:gsLst>
                <a:lin ang="5400000" scaled="1"/>
              </a:gra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s-MX"/>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RESUMEN!$B$3:$B$4</c:f>
              <c:strCache>
                <c:ptCount val="2"/>
                <c:pt idx="0">
                  <c:v>META 2026</c:v>
                </c:pt>
                <c:pt idx="1">
                  <c:v>RESULTADO AL MES DE MARZO DEL 2026</c:v>
                </c:pt>
              </c:strCache>
            </c:strRef>
          </c:cat>
          <c:val>
            <c:numRef>
              <c:f>RESUMEN!$I$3:$I$4</c:f>
              <c:numCache>
                <c:formatCode>0%</c:formatCode>
                <c:ptCount val="2"/>
                <c:pt idx="0">
                  <c:v>1</c:v>
                </c:pt>
                <c:pt idx="1">
                  <c:v>0.99390243902439024</c:v>
                </c:pt>
              </c:numCache>
            </c:numRef>
          </c:val>
          <c:extLst>
            <c:ext xmlns:c16="http://schemas.microsoft.com/office/drawing/2014/chart" uri="{C3380CC4-5D6E-409C-BE32-E72D297353CC}">
              <c16:uniqueId val="{00000000-424C-4EFB-B0D1-437E215F3EC7}"/>
            </c:ext>
          </c:extLst>
        </c:ser>
        <c:dLbls>
          <c:showLegendKey val="0"/>
          <c:showVal val="0"/>
          <c:showCatName val="0"/>
          <c:showSerName val="0"/>
          <c:showPercent val="0"/>
          <c:showBubbleSize val="0"/>
        </c:dLbls>
        <c:gapWidth val="355"/>
        <c:overlap val="-70"/>
        <c:axId val="247829008"/>
        <c:axId val="247830672"/>
        <c:extLst>
          <c:ext xmlns:c15="http://schemas.microsoft.com/office/drawing/2012/chart" uri="{02D57815-91ED-43cb-92C2-25804820EDAC}">
            <c15:filteredBarSeries>
              <c15:ser>
                <c:idx val="0"/>
                <c:order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extLst>
                      <c:ext uri="{02D57815-91ED-43cb-92C2-25804820EDAC}">
                        <c15:formulaRef>
                          <c15:sqref>RESUMEN!$B$3:$B$4</c15:sqref>
                        </c15:formulaRef>
                      </c:ext>
                    </c:extLst>
                    <c:strCache>
                      <c:ptCount val="2"/>
                      <c:pt idx="0">
                        <c:v>META 2026</c:v>
                      </c:pt>
                      <c:pt idx="1">
                        <c:v>RESULTADO AL MES DE MARZO DEL 2026</c:v>
                      </c:pt>
                    </c:strCache>
                  </c:strRef>
                </c:cat>
                <c:val>
                  <c:numRef>
                    <c:extLst>
                      <c:ext uri="{02D57815-91ED-43cb-92C2-25804820EDAC}">
                        <c15:formulaRef>
                          <c15:sqref>RESUMEN!$C$3:$C$4</c15:sqref>
                        </c15:formulaRef>
                      </c:ext>
                    </c:extLst>
                    <c:numCache>
                      <c:formatCode>General</c:formatCode>
                      <c:ptCount val="2"/>
                    </c:numCache>
                  </c:numRef>
                </c:val>
                <c:extLst>
                  <c:ext xmlns:c16="http://schemas.microsoft.com/office/drawing/2014/chart" uri="{C3380CC4-5D6E-409C-BE32-E72D297353CC}">
                    <c16:uniqueId val="{00000001-424C-4EFB-B0D1-437E215F3EC7}"/>
                  </c:ext>
                </c:extLst>
              </c15:ser>
            </c15:filteredBarSeries>
            <c15:filteredBarSeries>
              <c15:ser>
                <c:idx val="1"/>
                <c:order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extLst xmlns:c15="http://schemas.microsoft.com/office/drawing/2012/chart">
                      <c:ext xmlns:c15="http://schemas.microsoft.com/office/drawing/2012/chart" uri="{02D57815-91ED-43cb-92C2-25804820EDAC}">
                        <c15:formulaRef>
                          <c15:sqref>RESUMEN!$B$3:$B$4</c15:sqref>
                        </c15:formulaRef>
                      </c:ext>
                    </c:extLst>
                    <c:strCache>
                      <c:ptCount val="2"/>
                      <c:pt idx="0">
                        <c:v>META 2026</c:v>
                      </c:pt>
                      <c:pt idx="1">
                        <c:v>RESULTADO AL MES DE MARZO DEL 2026</c:v>
                      </c:pt>
                    </c:strCache>
                  </c:strRef>
                </c:cat>
                <c:val>
                  <c:numRef>
                    <c:extLst xmlns:c15="http://schemas.microsoft.com/office/drawing/2012/chart">
                      <c:ext xmlns:c15="http://schemas.microsoft.com/office/drawing/2012/chart" uri="{02D57815-91ED-43cb-92C2-25804820EDAC}">
                        <c15:formulaRef>
                          <c15:sqref>RESUMEN!$D$3:$D$4</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2-424C-4EFB-B0D1-437E215F3EC7}"/>
                  </c:ext>
                </c:extLst>
              </c15:ser>
            </c15:filteredBarSeries>
            <c15:filteredBarSeries>
              <c15:ser>
                <c:idx val="2"/>
                <c:order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extLst xmlns:c15="http://schemas.microsoft.com/office/drawing/2012/chart">
                      <c:ext xmlns:c15="http://schemas.microsoft.com/office/drawing/2012/chart" uri="{02D57815-91ED-43cb-92C2-25804820EDAC}">
                        <c15:formulaRef>
                          <c15:sqref>RESUMEN!$B$3:$B$4</c15:sqref>
                        </c15:formulaRef>
                      </c:ext>
                    </c:extLst>
                    <c:strCache>
                      <c:ptCount val="2"/>
                      <c:pt idx="0">
                        <c:v>META 2026</c:v>
                      </c:pt>
                      <c:pt idx="1">
                        <c:v>RESULTADO AL MES DE MARZO DEL 2026</c:v>
                      </c:pt>
                    </c:strCache>
                  </c:strRef>
                </c:cat>
                <c:val>
                  <c:numRef>
                    <c:extLst xmlns:c15="http://schemas.microsoft.com/office/drawing/2012/chart">
                      <c:ext xmlns:c15="http://schemas.microsoft.com/office/drawing/2012/chart" uri="{02D57815-91ED-43cb-92C2-25804820EDAC}">
                        <c15:formulaRef>
                          <c15:sqref>RESUMEN!$E$3:$E$4</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3-424C-4EFB-B0D1-437E215F3EC7}"/>
                  </c:ext>
                </c:extLst>
              </c15:ser>
            </c15:filteredBarSeries>
            <c15:filteredBarSeries>
              <c15:ser>
                <c:idx val="3"/>
                <c:order val="3"/>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5400000" scaled="0"/>
                  </a:gradFill>
                  <a:ln>
                    <a:noFill/>
                  </a:ln>
                  <a:effectLst/>
                </c:spPr>
                <c:invertIfNegative val="0"/>
                <c:cat>
                  <c:strRef>
                    <c:extLst xmlns:c15="http://schemas.microsoft.com/office/drawing/2012/chart">
                      <c:ext xmlns:c15="http://schemas.microsoft.com/office/drawing/2012/chart" uri="{02D57815-91ED-43cb-92C2-25804820EDAC}">
                        <c15:formulaRef>
                          <c15:sqref>RESUMEN!$B$3:$B$4</c15:sqref>
                        </c15:formulaRef>
                      </c:ext>
                    </c:extLst>
                    <c:strCache>
                      <c:ptCount val="2"/>
                      <c:pt idx="0">
                        <c:v>META 2026</c:v>
                      </c:pt>
                      <c:pt idx="1">
                        <c:v>RESULTADO AL MES DE MARZO DEL 2026</c:v>
                      </c:pt>
                    </c:strCache>
                  </c:strRef>
                </c:cat>
                <c:val>
                  <c:numRef>
                    <c:extLst xmlns:c15="http://schemas.microsoft.com/office/drawing/2012/chart">
                      <c:ext xmlns:c15="http://schemas.microsoft.com/office/drawing/2012/chart" uri="{02D57815-91ED-43cb-92C2-25804820EDAC}">
                        <c15:formulaRef>
                          <c15:sqref>RESUMEN!$F$3:$F$4</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4-424C-4EFB-B0D1-437E215F3EC7}"/>
                  </c:ext>
                </c:extLst>
              </c15:ser>
            </c15:filteredBarSeries>
            <c15:filteredBarSeries>
              <c15:ser>
                <c:idx val="4"/>
                <c:order val="4"/>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5400000" scaled="0"/>
                  </a:gradFill>
                  <a:ln>
                    <a:noFill/>
                  </a:ln>
                  <a:effectLst/>
                </c:spPr>
                <c:invertIfNegative val="0"/>
                <c:cat>
                  <c:strRef>
                    <c:extLst xmlns:c15="http://schemas.microsoft.com/office/drawing/2012/chart">
                      <c:ext xmlns:c15="http://schemas.microsoft.com/office/drawing/2012/chart" uri="{02D57815-91ED-43cb-92C2-25804820EDAC}">
                        <c15:formulaRef>
                          <c15:sqref>RESUMEN!$B$3:$B$4</c15:sqref>
                        </c15:formulaRef>
                      </c:ext>
                    </c:extLst>
                    <c:strCache>
                      <c:ptCount val="2"/>
                      <c:pt idx="0">
                        <c:v>META 2026</c:v>
                      </c:pt>
                      <c:pt idx="1">
                        <c:v>RESULTADO AL MES DE MARZO DEL 2026</c:v>
                      </c:pt>
                    </c:strCache>
                  </c:strRef>
                </c:cat>
                <c:val>
                  <c:numRef>
                    <c:extLst xmlns:c15="http://schemas.microsoft.com/office/drawing/2012/chart">
                      <c:ext xmlns:c15="http://schemas.microsoft.com/office/drawing/2012/chart" uri="{02D57815-91ED-43cb-92C2-25804820EDAC}">
                        <c15:formulaRef>
                          <c15:sqref>RESUMEN!$G$3:$G$4</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5-424C-4EFB-B0D1-437E215F3EC7}"/>
                  </c:ext>
                </c:extLst>
              </c15:ser>
            </c15:filteredBarSeries>
            <c15:filteredBarSeries>
              <c15:ser>
                <c:idx val="5"/>
                <c:order val="5"/>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cat>
                  <c:strRef>
                    <c:extLst xmlns:c15="http://schemas.microsoft.com/office/drawing/2012/chart">
                      <c:ext xmlns:c15="http://schemas.microsoft.com/office/drawing/2012/chart" uri="{02D57815-91ED-43cb-92C2-25804820EDAC}">
                        <c15:formulaRef>
                          <c15:sqref>RESUMEN!$B$3:$B$4</c15:sqref>
                        </c15:formulaRef>
                      </c:ext>
                    </c:extLst>
                    <c:strCache>
                      <c:ptCount val="2"/>
                      <c:pt idx="0">
                        <c:v>META 2026</c:v>
                      </c:pt>
                      <c:pt idx="1">
                        <c:v>RESULTADO AL MES DE MARZO DEL 2026</c:v>
                      </c:pt>
                    </c:strCache>
                  </c:strRef>
                </c:cat>
                <c:val>
                  <c:numRef>
                    <c:extLst xmlns:c15="http://schemas.microsoft.com/office/drawing/2012/chart">
                      <c:ext xmlns:c15="http://schemas.microsoft.com/office/drawing/2012/chart" uri="{02D57815-91ED-43cb-92C2-25804820EDAC}">
                        <c15:formulaRef>
                          <c15:sqref>RESUMEN!$H$3:$H$4</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6-424C-4EFB-B0D1-437E215F3EC7}"/>
                  </c:ext>
                </c:extLst>
              </c15:ser>
            </c15:filteredBarSeries>
          </c:ext>
        </c:extLst>
      </c:barChart>
      <c:catAx>
        <c:axId val="2478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MX"/>
          </a:p>
        </c:txPr>
        <c:crossAx val="247830672"/>
        <c:crosses val="autoZero"/>
        <c:auto val="1"/>
        <c:lblAlgn val="ctr"/>
        <c:lblOffset val="100"/>
        <c:noMultiLvlLbl val="0"/>
      </c:catAx>
      <c:valAx>
        <c:axId val="247830672"/>
        <c:scaling>
          <c:orientation val="minMax"/>
          <c:max val="1"/>
          <c:min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crossAx val="247829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800"/>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410176</xdr:colOff>
      <xdr:row>5</xdr:row>
      <xdr:rowOff>379868</xdr:rowOff>
    </xdr:from>
    <xdr:to>
      <xdr:col>19</xdr:col>
      <xdr:colOff>1166605</xdr:colOff>
      <xdr:row>16</xdr:row>
      <xdr:rowOff>119536</xdr:rowOff>
    </xdr:to>
    <xdr:graphicFrame macro="">
      <xdr:nvGraphicFramePr>
        <xdr:cNvPr id="2" name="Gráfico 2">
          <a:extLst>
            <a:ext uri="{FF2B5EF4-FFF2-40B4-BE49-F238E27FC236}">
              <a16:creationId xmlns:a16="http://schemas.microsoft.com/office/drawing/2014/main" id="{8065EFFF-259B-4832-9BD0-BB7996DB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omapasc-my.sharepoint.com/personal/hpaez_oomapasc_gob_mx1/Documents/CONTROL%205.xlsx" TargetMode="External"/><Relationship Id="rId1" Type="http://schemas.openxmlformats.org/officeDocument/2006/relationships/externalLinkPath" Target="CONTROL%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uebas"/>
      <sheetName val="datos auditores"/>
      <sheetName val="Cierre AC y OM"/>
      <sheetName val="RESUMEN"/>
      <sheetName val="RD"/>
      <sheetName val="FICHAS TÉCNICAS"/>
      <sheetName val="BUSCAR ÁREAS"/>
      <sheetName val="MEJORAS 20-22 SI"/>
      <sheetName val="ACCIONES 20-22 SI"/>
      <sheetName val="DIRECTORIO DEPARTAMENTOS "/>
      <sheetName val="CONTROL 5"/>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09BB61-BCA7-4469-90E7-A965EF1ED2A8}" name="AREAS" displayName="AREAS" ref="A1:G51" totalsRowShown="0">
  <autoFilter ref="A1:G51" xr:uid="{3E09BB61-BCA7-4469-90E7-A965EF1ED2A8}"/>
  <tableColumns count="7">
    <tableColumn id="1" xr3:uid="{C3B7C063-1928-46F4-A362-0292D53B265A}" name="Área"/>
    <tableColumn id="2" xr3:uid="{47FB97F8-593C-4BA3-B88A-A4F2F38A7E5E}" name="Encargado"/>
    <tableColumn id="3" xr3:uid="{7098DBB5-5677-44A6-AA20-8147182F278F}" name="E-mail"/>
    <tableColumn id="4" xr3:uid="{9039B89B-C35B-4CF6-A18B-971AB5D9444A}" name="Teléfono"/>
    <tableColumn id="5" xr3:uid="{22A877F7-ADBC-4CCC-8234-BC5B25A30C24}" name="Dirección"/>
    <tableColumn id="6" xr3:uid="{42C149D4-F62D-405B-973E-CFC2B7729736}" name="Observaciones"/>
    <tableColumn id="7" xr3:uid="{12DC1FCB-5E59-4BBC-A4C9-362BABCDB8C7}" name="Columna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DC4963-DD19-4EE6-AA30-BF5B19FA257A}" name="Indicador_mejora" displayName="Indicador_mejora" ref="K6:O11" totalsRowShown="0">
  <autoFilter ref="K6:O11" xr:uid="{9BC7B8A6-1F06-463E-98D3-EE173B232472}">
    <filterColumn colId="0" hiddenButton="1"/>
    <filterColumn colId="1" hiddenButton="1"/>
    <filterColumn colId="2" hiddenButton="1"/>
    <filterColumn colId="3" hiddenButton="1"/>
    <filterColumn colId="4" hiddenButton="1"/>
  </autoFilter>
  <tableColumns count="5">
    <tableColumn id="1" xr3:uid="{74734A03-2F46-47D7-B266-BAFE471C6C84}" name="EN TIEMPO " dataDxfId="166">
      <calculatedColumnFormula>E7</calculatedColumnFormula>
    </tableColumn>
    <tableColumn id="2" xr3:uid="{57DB1748-DA47-47DC-9588-5E1AAF5C280D}" name="FUERA DE TIEMPO" dataDxfId="165">
      <calculatedColumnFormula>F7</calculatedColumnFormula>
    </tableColumn>
    <tableColumn id="3" xr3:uid="{00FF2144-2A42-4846-9371-FE8E849A47CC}" name="TOTAL CERRADAS" dataDxfId="164">
      <calculatedColumnFormula>G7</calculatedColumnFormula>
    </tableColumn>
    <tableColumn id="4" xr3:uid="{C1D8ED73-9E90-4AAB-9600-2F5C2CFCC2C7}" name="TOTAL" dataDxfId="163">
      <calculatedColumnFormula>SUM(K7:M7)</calculatedColumnFormula>
    </tableColumn>
    <tableColumn id="5" xr3:uid="{2CEFA83A-E151-403C-A1D7-74F26543A37F}" name="% de cumplimiento" dataDxfId="162">
      <calculatedColumnFormula>IFERROR((M7+K7)/N7,"")</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071215-5F40-4185-B3F7-D885535C22F6}" name="Indicador_acción" displayName="Indicador_acción" ref="K13:O17" totalsRowShown="0" headerRowBorderDxfId="161">
  <autoFilter ref="K13:O17" xr:uid="{C877ED96-E76D-43D6-A350-EE5A5C78F9E9}">
    <filterColumn colId="0" hiddenButton="1"/>
    <filterColumn colId="1" hiddenButton="1"/>
    <filterColumn colId="2" hiddenButton="1"/>
    <filterColumn colId="3" hiddenButton="1"/>
    <filterColumn colId="4" hiddenButton="1"/>
  </autoFilter>
  <tableColumns count="5">
    <tableColumn id="1" xr3:uid="{7342A3DA-1908-43F2-8D76-24B4AC293DE4}" name="EN TIEMPO " dataDxfId="160">
      <calculatedColumnFormula>E14</calculatedColumnFormula>
    </tableColumn>
    <tableColumn id="2" xr3:uid="{75178135-1441-4FC9-90E6-B56E8953A779}" name="FUERA DE TIEMPO" dataDxfId="159">
      <calculatedColumnFormula>F14</calculatedColumnFormula>
    </tableColumn>
    <tableColumn id="3" xr3:uid="{42F1D90E-09AF-4048-A5D9-BBC7EA7A0118}" name="TOTAL CERRADAS" dataDxfId="158">
      <calculatedColumnFormula>G14</calculatedColumnFormula>
    </tableColumn>
    <tableColumn id="4" xr3:uid="{80993E61-E053-4570-A526-01BD208B65B0}" name="TOTAL" dataDxfId="157">
      <calculatedColumnFormula>SUM(K14:M14)</calculatedColumnFormula>
    </tableColumn>
    <tableColumn id="5" xr3:uid="{BE20741A-A803-47C7-9A99-94CFC9A50757}" name="% de cumplimiento" dataDxfId="156">
      <calculatedColumnFormula>IFERROR((M14+K14)/N14,"")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37AFAC-5BB7-4D10-B3B9-C09710BB306D}" name="AUD" displayName="AUD" ref="B2:O26" totalsRowShown="0" headerRowDxfId="153" dataDxfId="152" headerRowBorderDxfId="150" tableBorderDxfId="151">
  <autoFilter ref="B2:O26" xr:uid="{A5E038E5-781A-425F-944E-ABFDA2EBB0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2" xr3:uid="{B63BA7AE-6A56-44C2-B9D4-18815ABDD663}" name="Auditores" dataDxfId="149"/>
    <tableColumn id="3" xr3:uid="{09CB910E-19EA-4DF7-8F08-450F3A58CABB}" name="Enero" dataDxfId="148">
      <calculatedColumnFormula>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calculatedColumnFormula>
    </tableColumn>
    <tableColumn id="4" xr3:uid="{EFFCFF5B-958B-4F7F-89A5-3B0AF3FE7340}" name="Febrero" dataDxfId="147">
      <calculatedColumnFormula>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calculatedColumnFormula>
    </tableColumn>
    <tableColumn id="5" xr3:uid="{92493488-9851-4D94-83A4-14F7765C20E0}" name="Marzo" dataDxfId="146">
      <calculatedColumnFormula>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calculatedColumnFormula>
    </tableColumn>
    <tableColumn id="6" xr3:uid="{15218012-E19B-4230-AC4D-F009E617EA40}" name="Abril" dataDxfId="145">
      <calculatedColumnFormula>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calculatedColumnFormula>
    </tableColumn>
    <tableColumn id="7" xr3:uid="{702DC43A-4D4D-4F21-8EA1-B5B934CEA373}" name="Mayo" dataDxfId="144">
      <calculatedColumnFormula>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calculatedColumnFormula>
    </tableColumn>
    <tableColumn id="8" xr3:uid="{BC5B3073-62E8-4466-A599-2BB70B533A7F}" name="Junio" dataDxfId="143">
      <calculatedColumnFormula>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calculatedColumnFormula>
    </tableColumn>
    <tableColumn id="9" xr3:uid="{9AF27320-6ED5-467D-836A-D98BFBB5AFC9}" name="Julio" dataDxfId="142">
      <calculatedColumnFormula>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calculatedColumnFormula>
    </tableColumn>
    <tableColumn id="10" xr3:uid="{E33FCF20-4D1D-4F8B-8653-49BCBA5D2E22}" name="Agosto" dataDxfId="141">
      <calculatedColumnFormula>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calculatedColumnFormula>
    </tableColumn>
    <tableColumn id="11" xr3:uid="{9A27A130-2ED4-449A-A2AA-B096374D92BD}" name="Septiembre" dataDxfId="140">
      <calculatedColumnFormula>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calculatedColumnFormula>
    </tableColumn>
    <tableColumn id="12" xr3:uid="{4C291A18-1C3A-41BC-BB78-5AACC1F22388}" name="Octubre" dataDxfId="139">
      <calculatedColumnFormula>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calculatedColumnFormula>
    </tableColumn>
    <tableColumn id="13" xr3:uid="{306E9085-960D-48D2-8DC5-BF0CD2FF26F1}" name="Noviembre" dataDxfId="138">
      <calculatedColumnFormula>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calculatedColumnFormula>
    </tableColumn>
    <tableColumn id="14" xr3:uid="{3F0879A7-03BD-43BE-BA5A-5AA9A854587C}" name="Diciembre" dataDxfId="137">
      <calculatedColumnFormula>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calculatedColumnFormula>
    </tableColumn>
    <tableColumn id="15" xr3:uid="{DB3711A5-95EB-4A97-B420-70702BC84039}" name="TOTAL" dataDxfId="136">
      <calculatedColumnFormula>SUM(C3:N3)</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277818-DA9A-4928-B108-7796BE1FD301}" name="MEJORAS" displayName="MEJORAS" ref="B1:AO42" insertRowShift="1" totalsRowShown="0" headerRowDxfId="129" dataDxfId="128" headerRowBorderDxfId="126" tableBorderDxfId="127">
  <autoFilter ref="B1:AO42" xr:uid="{BDCE8BF8-0A61-4284-BFF1-5D1F9AA365BA}"/>
  <sortState xmlns:xlrd2="http://schemas.microsoft.com/office/spreadsheetml/2017/richdata2" ref="B2:AO39">
    <sortCondition ref="B1:B39"/>
  </sortState>
  <tableColumns count="40">
    <tableColumn id="2" xr3:uid="{45434DBA-353E-495E-ABD5-7AB55BA0BB44}" name="AÑO" dataDxfId="125">
      <calculatedColumnFormula>IF(MEJORAS[[#This Row],[FECHA DE APERTURA]]="","",YEAR(MEJORAS[[#This Row],[FECHA DE APERTURA]]))</calculatedColumnFormula>
    </tableColumn>
    <tableColumn id="38" xr3:uid="{373FF334-563E-4472-A595-B2A1A29F5686}" name="Columna1" dataDxfId="124"/>
    <tableColumn id="35" xr3:uid="{279FC946-55FF-4B33-B88A-1E9E35B4121C}" name="MES" dataDxfId="123">
      <calculatedColumnFormula>IF(YEAR(G2)=YEAR(G1),D1+1,1)</calculatedColumnFormula>
    </tableColumn>
    <tableColumn id="39" xr3:uid="{5ED1F541-C675-4ED1-8642-69FC43CFA02A}" name="Columna2" dataDxfId="122"/>
    <tableColumn id="4" xr3:uid="{7903B1E3-85C1-49B9-B6EA-B75CCA5A9D4E}" name="FOLIO" dataDxfId="121">
      <calculatedColumnFormula>IF(MEJORAS[[#This Row],[FECHA DE APERTURA]]="","",IF(MEJORAS[[#This Row],[Columna1]]="","OM#"&amp;MEJORAS[[#This Row],[MES]]&amp;"\"&amp;YEAR(MEJORAS[[#This Row],[FECHA DE APERTURA]]),MEJORAS[[#This Row],[Columna1]]))</calculatedColumnFormula>
    </tableColumn>
    <tableColumn id="3" xr3:uid="{57E65110-E6BA-4AC1-A730-B0EC6ACF996E}" name="FECHA DE APERTURA" dataDxfId="120"/>
    <tableColumn id="5" xr3:uid="{AEE3BBAC-5B15-4B5F-964F-AB109F8BDC93}" name="DESCRIPCIÓN" dataDxfId="119"/>
    <tableColumn id="6" xr3:uid="{7DBED9EF-19B4-4BEF-BDB1-D7B2BEB2BE0C}" name="FECHA DE CIERRE" dataDxfId="118"/>
    <tableColumn id="7" xr3:uid="{481BC86F-6ACB-4F90-8A83-90883110FC58}" name="REPLANTEO #1" dataDxfId="117"/>
    <tableColumn id="8" xr3:uid="{B58EF34B-ED5F-42FA-A454-31B63274C7B6}" name="REPLANTEO #2 &quot;Formato de replanteo&quot;" dataDxfId="116"/>
    <tableColumn id="9" xr3:uid="{E19EAAA2-21C5-4B29-8850-9CD8FAA903D4}" name="REPLANTEO #3" dataDxfId="115"/>
    <tableColumn id="10" xr3:uid="{5F7CE684-F4E4-4028-BA5D-D0A5A8D7CE2F}" name="ÁREA" dataDxfId="114"/>
    <tableColumn id="11" xr3:uid="{569FD4B2-21E2-4C86-A064-21D11BE5BB14}" name="ESTATUS" dataDxfId="113"/>
    <tableColumn id="12" xr3:uid="{DFA67E5B-2720-4F7D-9E8E-4BDA1B9DE053}" name="ORIGEN" dataDxfId="112"/>
    <tableColumn id="13" xr3:uid="{6761B72E-F976-44FB-ACCE-FCF3DC7E7FC9}" name="OBSERVACIONES" dataDxfId="111"/>
    <tableColumn id="30" xr3:uid="{7137D98B-EB2C-49E4-90A7-D538BAC3D4CF}" name="Auditor P. Cierre" dataDxfId="110"/>
    <tableColumn id="14" xr3:uid="{D6372562-F0F2-4CC6-8C37-31047C835553}" name="Fecha entrega" dataDxfId="109"/>
    <tableColumn id="1" xr3:uid="{4026DD5F-76AC-44F9-9EE3-3094B362B2E6}" name="Fecha Recibido" dataDxfId="108"/>
    <tableColumn id="32" xr3:uid="{B21606BB-BA4E-4A52-BBE5-0375766543D2}" name="Punto Auditoría" dataDxfId="107">
      <calculatedColumnFormula>IF(MEJORAS[[#This Row],[Fecha Recibido]]="","",IF(NETWORKDAYS(MEJORAS[[#This Row],[Fecha entrega]],MEJORAS[[#This Row],[Fecha Recibido]])&lt;=5,1,0))</calculatedColumnFormula>
    </tableColumn>
    <tableColumn id="37" xr3:uid="{E05E1211-2A4B-431C-B507-FA7565736F53}" name="MES ENTREGA" dataDxfId="106">
      <calculatedColumnFormula>IF(MEJORAS[[#This Row],[Fecha entrega]]="","",TEXT(MEJORAS[[#This Row],[Fecha entrega]],"MMMM"))</calculatedColumnFormula>
    </tableColumn>
    <tableColumn id="36" xr3:uid="{682E7403-A8B5-4AF8-86F3-25D75FF77859}" name="AÑO ENTREGA" dataDxfId="105">
      <calculatedColumnFormula>IF(MEJORAS[[#This Row],[Fecha entrega]]="","",YEAR(MEJORAS[[#This Row],[Fecha entrega]]))</calculatedColumnFormula>
    </tableColumn>
    <tableColumn id="34" xr3:uid="{5AF6D3E6-4A16-4420-A145-64CDC2E35AA4}" name="Mes recibido (AUD)" dataDxfId="104">
      <calculatedColumnFormula>IF(MEJORAS[[#This Row],[Fecha Recibido]]="","",TEXT(MEJORAS[[#This Row],[Fecha Recibido]],"mmmm"))</calculatedColumnFormula>
    </tableColumn>
    <tableColumn id="33" xr3:uid="{C6538A42-1AAD-485E-94D4-3FDEC4E81A8A}" name="año recibido (AUD)" dataDxfId="103">
      <calculatedColumnFormula>IF(MEJORAS[[#This Row],[Fecha Recibido]]="","",YEAR(MEJORAS[[#This Row],[Fecha Recibido]]))</calculatedColumnFormula>
    </tableColumn>
    <tableColumn id="15" xr3:uid="{0AADE79A-3ECE-4841-85F5-9C3722F644F5}" name="CÓDIGO 1" dataDxfId="102">
      <calculatedColumnFormula>_xlfn.CONCAT(MEJORAS[[#This Row],[ÁREA]],MEJORAS[[#This Row],[ORIGEN]])</calculatedColumnFormula>
    </tableColumn>
    <tableColumn id="16" xr3:uid="{31A18443-4B82-4FC0-B2C6-67A43500EF4F}" name="CÓDIGO 2" dataDxfId="101"/>
    <tableColumn id="17" xr3:uid="{E65FDA3B-9B0D-4D94-AAE2-B32E62A91BE9}" name="CÓDIGO 3 TOTAL FECHAS" dataDxfId="100"/>
    <tableColumn id="18" xr3:uid="{69930875-4CB8-42A6-90F1-090F0E79C7F3}" name="CÓDIGO 4 EN FECHA DE CIERRE " dataDxfId="99">
      <calculatedColumnFormula>IFERROR(IF(MEJORAS[[#This Row],[FECHA DE CIERRE]]&gt;TODAY(),1,""),"")</calculatedColumnFormula>
    </tableColumn>
    <tableColumn id="19" xr3:uid="{BEE8FB45-9EAF-4DD1-A585-0C206120DA5D}" name="CÓDIGO 5 REPLANTEO FECHA CIERRE" dataDxfId="98"/>
    <tableColumn id="20" xr3:uid="{BA28A724-C9B9-4B2D-9A3D-BD6FBB6E2C7B}" name="CÓDIGO 6 REPLANTEO FECHA CIERRE2" dataDxfId="97"/>
    <tableColumn id="21" xr3:uid="{4A6E93B3-623F-4AA6-B091-C4D685100290}" name="CÓDIGO 7 REPLANTEO FECHA CIERRE3" dataDxfId="96"/>
    <tableColumn id="22" xr3:uid="{F432C180-6843-48E0-A862-0D3BC206B59E}" name="CÓDIGO 8 ESTATUS CIERRE" dataDxfId="95"/>
    <tableColumn id="23" xr3:uid="{686D73D1-D941-4AA9-A924-70CEDE36E2FB}" name="CÓDIGO 9 ESTATUS CERRADA" dataDxfId="94"/>
    <tableColumn id="24" xr3:uid="{2E1340FA-C69E-4174-9A6A-A1B6736F33E6}" name="CÓDIGO 10 FUERA DE TIEMPO" dataDxfId="93"/>
    <tableColumn id="25" xr3:uid="{BFA6C13D-0ED2-47A8-9F1D-732BDBB47D3E}" name="CÓDIGO 11 POR VENCER FECHA CIERRE" dataDxfId="92"/>
    <tableColumn id="26" xr3:uid="{7F5713C8-E7C1-40D9-8035-B19C6E8A1C9A}" name="CÓDIGO 12 POR VENCERREPLANTEO 1" dataDxfId="91"/>
    <tableColumn id="27" xr3:uid="{D9B5B988-3F08-4BBF-93ED-7366F4F5EC07}" name="CÓDIGO 13 POR VENCER REPLANTEO 2" dataDxfId="90"/>
    <tableColumn id="28" xr3:uid="{75E8976D-BBD3-416B-A3EF-B4F4F296FCEA}" name="CÓDIGO 14 FUERA DE REPLANTEO 3" dataDxfId="89"/>
    <tableColumn id="29" xr3:uid="{B542568B-DABF-4EB0-AF81-DCA4094D6BE9}" name="CÓDIGO 15 POR VENCER" dataDxfId="88"/>
    <tableColumn id="31" xr3:uid="{E9A67B2D-7961-47FB-8078-26109EC48105}" name="DIRECCIÓN" dataDxfId="87">
      <calculatedColumnFormula>_xlfn.XLOOKUP(MEJORAS[[#This Row],[ÁREA]],AREAS[Área],AREAS[Dirección],,0)</calculatedColumnFormula>
    </tableColumn>
    <tableColumn id="40" xr3:uid="{93212598-5B54-46EA-B697-CFC695F36DB3}" name="Secuencia" dataDxfId="8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8C2117-0095-4206-939A-D3C15EFF8F1B}" name="ACCIONES" displayName="ACCIONES" ref="C1:AO64" insertRowShift="1" headerRowDxfId="79" dataDxfId="78" headerRowBorderDxfId="76" tableBorderDxfId="77">
  <autoFilter ref="C1:AO64" xr:uid="{E38C2117-0095-4206-939A-D3C15EFF8F1B}">
    <filterColumn colId="12">
      <filters blank="1">
        <filter val="Abierta"/>
      </filters>
    </filterColumn>
  </autoFilter>
  <sortState xmlns:xlrd2="http://schemas.microsoft.com/office/spreadsheetml/2017/richdata2" ref="C2:AO38">
    <sortCondition ref="D1:D38"/>
  </sortState>
  <tableColumns count="39">
    <tableColumn id="1" xr3:uid="{D0081129-6003-45D6-993E-C2771AFF0F36}" name="año" dataDxfId="74" totalsRowDxfId="75">
      <calculatedColumnFormula>IF(ACCIONES[[#This Row],[FECHA DE APERTURA]]="","",YEAR(ACCIONES[[#This Row],[FECHA DE APERTURA]]))</calculatedColumnFormula>
    </tableColumn>
    <tableColumn id="40" xr3:uid="{5A16A0FA-031A-4CB6-8059-E56BC1760574}" name="sec" dataDxfId="72" totalsRowDxfId="73">
      <calculatedColumnFormula>ROW()-1</calculatedColumnFormula>
    </tableColumn>
    <tableColumn id="39" xr3:uid="{FBD07DD6-EB54-475D-9039-AB1E1FCD6EA1}" name="Columna1" dataDxfId="70" totalsRowDxfId="71"/>
    <tableColumn id="2" xr3:uid="{F7CBF378-E27D-43EF-9960-0AE947843B2F}" name="foliox" totalsRowLabel="Total" dataDxfId="69">
      <calculatedColumnFormula>IF(YEAR(H2)=YEAR(H1), F1+1, 1)</calculatedColumnFormula>
    </tableColumn>
    <tableColumn id="4" xr3:uid="{14AB245A-D4CB-4736-8A54-36DFDDBE61F6}" name="FOLIO" dataDxfId="68">
      <calculatedColumnFormula>IF(ACCIONES[[#This Row],[FECHA DE APERTURA]]="","",IF(ACCIONES[[#This Row],[Columna1]]="","AC#"&amp;ACCIONES[[#This Row],[foliox]]&amp;"\"&amp;YEAR(ACCIONES[[#This Row],[FECHA DE APERTURA]]),ACCIONES[[#This Row],[Columna1]]))</calculatedColumnFormula>
    </tableColumn>
    <tableColumn id="3" xr3:uid="{3C1F0794-1EF1-4609-ADE4-CC9C75AC729A}" name="FECHA DE APERTURA" dataDxfId="66" totalsRowDxfId="67"/>
    <tableColumn id="5" xr3:uid="{5A1D7703-AF56-4C28-B901-6A21B682F54C}" name="DESCRIPCIÓN" dataDxfId="64" totalsRowDxfId="65"/>
    <tableColumn id="6" xr3:uid="{1F99AF10-3D39-4E32-9F81-2948D965DC08}" name="FECHA DE CIERRE" dataDxfId="62" totalsRowDxfId="63"/>
    <tableColumn id="7" xr3:uid="{F3CF9C6D-C4D4-4890-925B-496A5840ED68}" name="REPLANTEO #1" dataDxfId="60" totalsRowDxfId="61"/>
    <tableColumn id="8" xr3:uid="{E3334E7D-202E-4BCD-9A8F-CACC1CAE8F23}" name="REPLANTEO #2 &quot;Formato de replanteo&quot;" dataDxfId="58" totalsRowDxfId="59"/>
    <tableColumn id="9" xr3:uid="{147D1E52-4EC2-4916-AA8B-FD608DFD380C}" name="REPLANTEO #3" dataDxfId="56" totalsRowDxfId="57"/>
    <tableColumn id="10" xr3:uid="{13AD09BD-A28E-4FD6-9806-94FF57EF8183}" name="DIRECCIÓN O GERENCIA" dataDxfId="54" totalsRowDxfId="55"/>
    <tableColumn id="11" xr3:uid="{9C7BC9D5-4EDC-4849-ACEB-963B41AABFD0}" name="ESTATUS" dataDxfId="52" totalsRowDxfId="53"/>
    <tableColumn id="12" xr3:uid="{A5D4BB65-0E2A-4493-874C-577A92C876D0}" name="ORIGEN" dataDxfId="50" totalsRowDxfId="51"/>
    <tableColumn id="13" xr3:uid="{2E57DD31-7BA1-49F1-B216-06AE84B25129}" name="OBSERVACIONES" dataDxfId="48" totalsRowDxfId="49"/>
    <tableColumn id="14" xr3:uid="{F8B7489E-4355-40C4-BAD6-BD449940C3CA}" name="Auditor P. Cierre" dataDxfId="46" totalsRowDxfId="47"/>
    <tableColumn id="30" xr3:uid="{66C83F32-32B6-49F6-BC37-179597D2102B}" name="Fecha entrega" dataDxfId="44" totalsRowDxfId="45"/>
    <tableColumn id="33" xr3:uid="{5BEAC97D-FF9B-445F-991E-07AD05B1D670}" name="Fecha Recibido" dataDxfId="42" totalsRowDxfId="43"/>
    <tableColumn id="34" xr3:uid="{AA0DF132-D5FE-4E30-8D8A-D4826DA84B01}" name="Punto Auditoría" dataDxfId="40" totalsRowDxfId="41">
      <calculatedColumnFormula>IF(ACCIONES[[#This Row],[Fecha Recibido]]="","",IF(NETWORKDAYS(ACCIONES[[#This Row],[Fecha entrega]],ACCIONES[[#This Row],[Fecha Recibido]])&lt;=5,1,0))</calculatedColumnFormula>
    </tableColumn>
    <tableColumn id="37" xr3:uid="{D1051CF9-D4B5-412E-B4C9-C912957A9C6F}" name="MES ENTREGADO" dataDxfId="38" totalsRowDxfId="39">
      <calculatedColumnFormula>IF(ACCIONES[[#This Row],[Fecha entrega]]="","",TEXT(ACCIONES[[#This Row],[Fecha entrega]],"MMMM"))</calculatedColumnFormula>
    </tableColumn>
    <tableColumn id="32" xr3:uid="{F48BD316-E52F-42E4-9FD9-86AFE220039E}" name="AÑO ENTREGADO" dataDxfId="36" totalsRowDxfId="37">
      <calculatedColumnFormula>IF(ACCIONES[[#This Row],[Fecha entrega]]="","",YEAR(ACCIONES[[#This Row],[Fecha entrega]]))</calculatedColumnFormula>
    </tableColumn>
    <tableColumn id="36" xr3:uid="{C5E6063B-D207-498A-9230-192017EB00F2}" name="Mes recibido (AUD)" dataDxfId="34" totalsRowDxfId="35">
      <calculatedColumnFormula>IF(ACCIONES[[#This Row],[Fecha Recibido]]="","",TEXT(ACCIONES[[#This Row],[Fecha Recibido]],"mmmm"))</calculatedColumnFormula>
    </tableColumn>
    <tableColumn id="35" xr3:uid="{35DA98C3-2258-47BC-8F98-94B5473925A7}" name="año recibido (AUD)" dataDxfId="32" totalsRowDxfId="33">
      <calculatedColumnFormula>IF(ACCIONES[[#This Row],[Fecha Recibido]]="","",YEAR(ACCIONES[[#This Row],[Fecha Recibido]]))</calculatedColumnFormula>
    </tableColumn>
    <tableColumn id="15" xr3:uid="{45F5AA9D-2893-42CC-98B6-50DAF91877D4}" name="CÓDIGO 1" dataDxfId="30" totalsRowDxfId="31">
      <calculatedColumnFormula>_xlfn.CONCAT(ACCIONES[[#This Row],[DIRECCIÓN O GERENCIA]],ACCIONES[[#This Row],[ORIGEN]])</calculatedColumnFormula>
    </tableColumn>
    <tableColumn id="16" xr3:uid="{69678AF3-AE7B-4E23-BE43-C465C7D13E4B}" name="CÓDIGO 2" dataDxfId="28" totalsRowDxfId="29">
      <calculatedColumnFormula>_xlfn.CONCAT(ACCIONES[[#This Row],[DIRECCIÓN O GERENCIA]],ACCIONES[[#This Row],[ESTATUS]])</calculatedColumnFormula>
    </tableColumn>
    <tableColumn id="17" xr3:uid="{9A4789BD-174F-4A04-967C-6CE34C1FA7BD}" name="CÓDIGO 3 TOTAL FECHAS" dataDxfId="26" totalsRowDxfId="27">
      <calculatedColumnFormula>IF(ACCIONES[[#This Row],[ESTATUS]]="","",MAX(ACCIONES[[#This Row],[FECHA DE CIERRE]:[REPLANTEO '#2 "Formato de replanteo"]]))</calculatedColumnFormula>
    </tableColumn>
    <tableColumn id="18" xr3:uid="{A1E26CFD-BF4E-4500-97B0-231548BE4337}" name="CÓDIGO 4 EN FECHA DE CIERRE " dataDxfId="24" totalsRowDxfId="25">
      <calculatedColumnFormula>IFERROR(IF(ACCIONES[[#This Row],[FECHA DE CIERRE]]&gt;TODAY(),1,""),"")</calculatedColumnFormula>
    </tableColumn>
    <tableColumn id="19" xr3:uid="{74D4A2CB-EE35-4130-BA61-437382A632D6}" name="CÓDIGO 5 REPLANTEO FECHA CIERRE" dataDxfId="22" totalsRowDxfId="23">
      <calculatedColumnFormula>IFERROR(IF(ACCIONES[[#This Row],[REPLANTEO '#1]]&gt;TODAY(),1,""),"")</calculatedColumnFormula>
    </tableColumn>
    <tableColumn id="20" xr3:uid="{AA9BA833-03E7-46A5-ABC2-05990441145A}" name="CÓDIGO 6 REPLANTEO FECHA CIERRE2" dataDxfId="20" totalsRowDxfId="21">
      <calculatedColumnFormula>IFERROR(IF(ACCIONES[[#This Row],[REPLANTEO '#2 "Formato de replanteo"]]&gt;TODAY(),1,""),"")</calculatedColumnFormula>
    </tableColumn>
    <tableColumn id="21" xr3:uid="{FE2DBDAF-98E1-4527-87B6-572435431C0F}" name="CÓDIGO 7 REPLANTEO FECHA CIERRE3" dataDxfId="18" totalsRowDxfId="19">
      <calculatedColumnFormula>IFERROR(IF(ACCIONES[[#This Row],[REPLANTEO '#3]]&gt;TODAY(),1,""),"")</calculatedColumnFormula>
    </tableColumn>
    <tableColumn id="22" xr3:uid="{D58C601B-0A27-4F22-A49D-92B6B570C8A0}" name="CÓDIGO 8 ESTATUS CIERRE" dataDxfId="16" totalsRowDxfId="17">
      <calculatedColumnFormula>IFERROR(IF(ACCIONES[[#This Row],[ESTATUS]]="CIERRE",1,""),"")</calculatedColumnFormula>
    </tableColumn>
    <tableColumn id="23" xr3:uid="{7F81D7BB-E246-4499-A961-2B0E4E80C80F}" name="CÓDIGO 9 ESTATUS CERRADA" dataDxfId="14" totalsRowDxfId="15">
      <calculatedColumnFormula>IFERROR(IF(ACCIONES[[#This Row],[ESTATUS]]="CERRADA",1,""),"")</calculatedColumnFormula>
    </tableColumn>
    <tableColumn id="24" xr3:uid="{EA1CFCF8-8E43-48F8-9AB9-CE522A8F8A10}" name="CÓDIGO 10 FUERA DE TIEMPO" dataDxfId="12" totalsRowDxfId="13">
      <calculatedColumnFormula>IF(ACCIONES[[#This Row],[ESTATUS]]="Abierta",COUNT(ACCIONES[[#This Row],[CÓDIGO 4 EN FECHA DE CIERRE ]:[CÓDIGO 9 ESTATUS CERRADA]]),"")</calculatedColumnFormula>
    </tableColumn>
    <tableColumn id="25" xr3:uid="{0A5EF2EF-3B6C-4174-B0ED-88B87C804D3D}" name="CÓDIGO 11 POR VENCER FECHA CIERRE" dataDxfId="10" totalsRowDxfId="11">
      <calculatedColumnFormula array="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calculatedColumnFormula>
    </tableColumn>
    <tableColumn id="26" xr3:uid="{471EF9BE-74A4-4585-874B-ACEE987E358C}" name="CÓDIGO 12 POR VENCERREPLANTEO 1" dataDxfId="8" totalsRowDxfId="9">
      <calculatedColumnFormula array="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calculatedColumnFormula>
    </tableColumn>
    <tableColumn id="27" xr3:uid="{D90EAD9D-AB22-4A33-84D1-96B089DDEC9E}" name="CÓDIGO 13 POR VENCER REPLANTEO 2" dataDxfId="6" totalsRowDxfId="7">
      <calculatedColumnFormula array="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calculatedColumnFormula>
    </tableColumn>
    <tableColumn id="28" xr3:uid="{335E3EF5-B730-4418-8AF5-DAEA646091CF}" name="CÓDIGO 14 FUERA DE REPLANTEO 3" dataDxfId="4" totalsRowDxfId="5">
      <calculatedColumnFormula array="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calculatedColumnFormula>
    </tableColumn>
    <tableColumn id="29" xr3:uid="{6603AD07-08E0-47F4-95DC-11F1D7B3EF4F}" name="CÓDIGO 15 POR VENCER" dataDxfId="2" totalsRowDxfId="3">
      <calculatedColumnFormula>IFERROR(COUNTIF(ACCIONES[[#This Row],[CÓDIGO 11 POR VENCER FECHA CIERRE]:[CÓDIGO 14 FUERA DE REPLANTEO 3]],3)=1," ")</calculatedColumnFormula>
    </tableColumn>
    <tableColumn id="31" xr3:uid="{621A1BB6-52B0-4F11-BCE6-C44D487D3055}" name="CÓDIGO RELACIÓN" totalsRowFunction="count" dataDxfId="0" totalsRowDxfId="1">
      <calculatedColumnFormula>IFERROR(VLOOKUP(ACCIONES[[#This Row],[DIRECCIÓN O GERENCIA]],AREAS[#All],3,0),"")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Sector">
  <a:themeElements>
    <a:clrScheme name="Secto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o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o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encinas@oomapasc.gob.mx,%20serviciosgenerales@oomapasc.gob.mx" TargetMode="External"/><Relationship Id="rId3" Type="http://schemas.openxmlformats.org/officeDocument/2006/relationships/hyperlink" Target="mailto:mmontoya@oomapasc.gob.mx" TargetMode="External"/><Relationship Id="rId7" Type="http://schemas.openxmlformats.org/officeDocument/2006/relationships/hyperlink" Target="mailto:dsandoval@oomapasc.gob.mx,%20bfelix@oomapasc.gob.mx" TargetMode="External"/><Relationship Id="rId12" Type="http://schemas.openxmlformats.org/officeDocument/2006/relationships/table" Target="../tables/table1.xml"/><Relationship Id="rId2" Type="http://schemas.openxmlformats.org/officeDocument/2006/relationships/hyperlink" Target="mailto:mavila@oomapasc.gob.mx" TargetMode="External"/><Relationship Id="rId1" Type="http://schemas.openxmlformats.org/officeDocument/2006/relationships/hyperlink" Target="mailto:agastelum@oomapasc.gob.mx,%20cflores@oomapasc.gob.mx" TargetMode="External"/><Relationship Id="rId6" Type="http://schemas.openxmlformats.org/officeDocument/2006/relationships/hyperlink" Target="mailto:jtorres@oomapasc.gob.mx,%20rsuarez@oomapasc.gob.mx" TargetMode="External"/><Relationship Id="rId11" Type="http://schemas.openxmlformats.org/officeDocument/2006/relationships/hyperlink" Target="mailto:ectorizacion@oomapasc.gob.mx" TargetMode="External"/><Relationship Id="rId5" Type="http://schemas.openxmlformats.org/officeDocument/2006/relationships/hyperlink" Target="mailto:jaenriquez@oomapasc.gob.mx,%20agalvez@oomapasc.gob.mx" TargetMode="External"/><Relationship Id="rId10" Type="http://schemas.openxmlformats.org/officeDocument/2006/relationships/hyperlink" Target="mailto:kbojorquez@oomapasc.gob.mx,%20proveedores@oomapasc.gob.mx,%20dgalarza@oomapasc.gob.mx" TargetMode="External"/><Relationship Id="rId4" Type="http://schemas.openxmlformats.org/officeDocument/2006/relationships/hyperlink" Target="mailto:comunicacion@oomapasc.gob.mx,%20badilla@oomapasc.gob.mx" TargetMode="External"/><Relationship Id="rId9" Type="http://schemas.openxmlformats.org/officeDocument/2006/relationships/hyperlink" Target="mailto:esauceda@oomapasc.gob.m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hyperlink" Target="mailto:hpaez@ooomapasc.gob.mx"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B4848-2ED2-4900-9804-6747566667B7}">
  <sheetPr codeName="Hoja7"/>
  <dimension ref="A1:G51"/>
  <sheetViews>
    <sheetView workbookViewId="0">
      <selection activeCell="A17" sqref="A17:B17"/>
    </sheetView>
  </sheetViews>
  <sheetFormatPr defaultColWidth="11" defaultRowHeight="16.5"/>
  <cols>
    <col min="1" max="1" width="35.625" bestFit="1" customWidth="1"/>
    <col min="2" max="2" width="35" bestFit="1" customWidth="1"/>
    <col min="3" max="3" width="42.625" customWidth="1"/>
    <col min="4" max="4" width="10.875" bestFit="1" customWidth="1"/>
    <col min="5" max="5" width="30.375" bestFit="1" customWidth="1"/>
    <col min="6" max="6" width="16.75" bestFit="1" customWidth="1"/>
    <col min="7" max="7" width="12.375" bestFit="1" customWidth="1"/>
  </cols>
  <sheetData>
    <row r="1" spans="1:7">
      <c r="A1" t="s">
        <v>0</v>
      </c>
      <c r="B1" t="s">
        <v>1</v>
      </c>
      <c r="C1" t="s">
        <v>2</v>
      </c>
      <c r="D1" t="s">
        <v>3</v>
      </c>
      <c r="E1" t="s">
        <v>4</v>
      </c>
      <c r="F1" t="s">
        <v>5</v>
      </c>
      <c r="G1" t="s">
        <v>6</v>
      </c>
    </row>
    <row r="2" spans="1:7">
      <c r="A2" t="s">
        <v>7</v>
      </c>
      <c r="B2" t="s">
        <v>8</v>
      </c>
      <c r="C2" s="171" t="s">
        <v>9</v>
      </c>
      <c r="D2">
        <v>6442061601</v>
      </c>
      <c r="E2" t="s">
        <v>10</v>
      </c>
    </row>
    <row r="3" spans="1:7">
      <c r="B3" t="s">
        <v>11</v>
      </c>
      <c r="C3" t="s">
        <v>9</v>
      </c>
    </row>
    <row r="4" spans="1:7">
      <c r="A4" t="s">
        <v>12</v>
      </c>
      <c r="B4" t="s">
        <v>13</v>
      </c>
      <c r="C4" s="171" t="s">
        <v>14</v>
      </c>
      <c r="E4" t="s">
        <v>10</v>
      </c>
    </row>
    <row r="5" spans="1:7">
      <c r="A5" t="s">
        <v>15</v>
      </c>
      <c r="B5" t="s">
        <v>16</v>
      </c>
      <c r="C5" s="171" t="s">
        <v>17</v>
      </c>
      <c r="E5" t="s">
        <v>18</v>
      </c>
    </row>
    <row r="6" spans="1:7">
      <c r="A6" t="s">
        <v>19</v>
      </c>
      <c r="B6" t="s">
        <v>20</v>
      </c>
      <c r="C6" s="171" t="s">
        <v>21</v>
      </c>
      <c r="D6">
        <v>6444108383</v>
      </c>
      <c r="E6" t="s">
        <v>10</v>
      </c>
    </row>
    <row r="7" spans="1:7">
      <c r="B7" t="s">
        <v>22</v>
      </c>
    </row>
    <row r="8" spans="1:7">
      <c r="A8" t="s">
        <v>23</v>
      </c>
      <c r="B8" t="s">
        <v>24</v>
      </c>
      <c r="C8" t="s">
        <v>25</v>
      </c>
      <c r="E8" t="s">
        <v>18</v>
      </c>
    </row>
    <row r="10" spans="1:7">
      <c r="A10" t="s">
        <v>26</v>
      </c>
      <c r="B10" t="s">
        <v>27</v>
      </c>
      <c r="C10" t="s">
        <v>28</v>
      </c>
      <c r="E10" t="s">
        <v>29</v>
      </c>
    </row>
    <row r="11" spans="1:7">
      <c r="B11" t="s">
        <v>30</v>
      </c>
      <c r="C11" t="s">
        <v>31</v>
      </c>
    </row>
    <row r="12" spans="1:7">
      <c r="A12" t="s">
        <v>32</v>
      </c>
      <c r="B12" t="s">
        <v>33</v>
      </c>
      <c r="C12" t="s">
        <v>34</v>
      </c>
      <c r="E12" t="s">
        <v>10</v>
      </c>
    </row>
    <row r="13" spans="1:7">
      <c r="A13" t="s">
        <v>35</v>
      </c>
      <c r="E13" t="s">
        <v>36</v>
      </c>
    </row>
    <row r="14" spans="1:7">
      <c r="A14" t="s">
        <v>37</v>
      </c>
      <c r="B14" t="s">
        <v>38</v>
      </c>
      <c r="C14" s="171" t="s">
        <v>39</v>
      </c>
      <c r="E14" t="s">
        <v>18</v>
      </c>
    </row>
    <row r="15" spans="1:7">
      <c r="B15" t="s">
        <v>40</v>
      </c>
      <c r="C15" t="s">
        <v>41</v>
      </c>
      <c r="D15">
        <v>6441026920</v>
      </c>
    </row>
    <row r="16" spans="1:7">
      <c r="A16" t="s">
        <v>42</v>
      </c>
      <c r="B16" t="s">
        <v>43</v>
      </c>
      <c r="C16" t="s">
        <v>44</v>
      </c>
      <c r="D16">
        <v>6441220168</v>
      </c>
      <c r="E16" t="s">
        <v>45</v>
      </c>
    </row>
    <row r="17" spans="1:5">
      <c r="A17" t="s">
        <v>46</v>
      </c>
      <c r="B17" t="s">
        <v>47</v>
      </c>
      <c r="C17" s="171" t="s">
        <v>48</v>
      </c>
      <c r="E17" t="s">
        <v>18</v>
      </c>
    </row>
    <row r="18" spans="1:5">
      <c r="B18" t="s">
        <v>49</v>
      </c>
      <c r="C18" t="s">
        <v>50</v>
      </c>
    </row>
    <row r="19" spans="1:5">
      <c r="A19" t="s">
        <v>51</v>
      </c>
      <c r="B19" t="s">
        <v>52</v>
      </c>
      <c r="C19" t="s">
        <v>53</v>
      </c>
      <c r="E19" t="s">
        <v>36</v>
      </c>
    </row>
    <row r="20" spans="1:5">
      <c r="A20" t="s">
        <v>54</v>
      </c>
      <c r="B20" t="s">
        <v>55</v>
      </c>
      <c r="C20" s="171" t="s">
        <v>56</v>
      </c>
      <c r="E20" t="s">
        <v>18</v>
      </c>
    </row>
    <row r="21" spans="1:5">
      <c r="B21" t="s">
        <v>57</v>
      </c>
      <c r="C21" t="s">
        <v>58</v>
      </c>
    </row>
    <row r="22" spans="1:5">
      <c r="A22" t="s">
        <v>59</v>
      </c>
      <c r="B22" t="s">
        <v>60</v>
      </c>
      <c r="C22" t="s">
        <v>61</v>
      </c>
      <c r="E22" t="s">
        <v>62</v>
      </c>
    </row>
    <row r="25" spans="1:5">
      <c r="A25" t="s">
        <v>63</v>
      </c>
      <c r="D25">
        <v>6442061617</v>
      </c>
      <c r="E25" t="s">
        <v>29</v>
      </c>
    </row>
    <row r="26" spans="1:5">
      <c r="B26" t="s">
        <v>64</v>
      </c>
      <c r="C26" t="s">
        <v>65</v>
      </c>
    </row>
    <row r="27" spans="1:5">
      <c r="A27" t="s">
        <v>66</v>
      </c>
      <c r="B27" t="s">
        <v>67</v>
      </c>
      <c r="C27" t="s">
        <v>68</v>
      </c>
      <c r="E27" t="s">
        <v>29</v>
      </c>
    </row>
    <row r="29" spans="1:5">
      <c r="A29" t="s">
        <v>69</v>
      </c>
      <c r="B29" t="s">
        <v>70</v>
      </c>
      <c r="C29" s="171" t="s">
        <v>71</v>
      </c>
      <c r="E29" t="s">
        <v>10</v>
      </c>
    </row>
    <row r="30" spans="1:5">
      <c r="A30" t="s">
        <v>72</v>
      </c>
      <c r="B30" t="s">
        <v>73</v>
      </c>
      <c r="C30" s="171" t="s">
        <v>74</v>
      </c>
      <c r="E30" t="s">
        <v>18</v>
      </c>
    </row>
    <row r="31" spans="1:5">
      <c r="A31" t="s">
        <v>75</v>
      </c>
      <c r="B31" t="s">
        <v>76</v>
      </c>
      <c r="C31" t="s">
        <v>77</v>
      </c>
      <c r="E31" t="s">
        <v>18</v>
      </c>
    </row>
    <row r="33" spans="1:5">
      <c r="A33" t="s">
        <v>78</v>
      </c>
      <c r="B33" t="s">
        <v>79</v>
      </c>
      <c r="C33" s="171" t="s">
        <v>80</v>
      </c>
      <c r="E33" t="s">
        <v>18</v>
      </c>
    </row>
    <row r="34" spans="1:5">
      <c r="A34" t="s">
        <v>81</v>
      </c>
      <c r="B34" t="s">
        <v>82</v>
      </c>
      <c r="C34" t="s">
        <v>83</v>
      </c>
      <c r="E34" t="s">
        <v>29</v>
      </c>
    </row>
    <row r="35" spans="1:5">
      <c r="D35">
        <v>6442061499</v>
      </c>
    </row>
    <row r="36" spans="1:5">
      <c r="A36" t="s">
        <v>84</v>
      </c>
      <c r="D36">
        <v>6442063912</v>
      </c>
      <c r="E36" t="s">
        <v>29</v>
      </c>
    </row>
    <row r="37" spans="1:5">
      <c r="A37" t="s">
        <v>85</v>
      </c>
      <c r="E37" t="s">
        <v>29</v>
      </c>
    </row>
    <row r="38" spans="1:5">
      <c r="A38" t="s">
        <v>86</v>
      </c>
      <c r="B38" t="s">
        <v>87</v>
      </c>
      <c r="C38" t="s">
        <v>88</v>
      </c>
      <c r="D38">
        <v>6441450879</v>
      </c>
      <c r="E38" t="s">
        <v>29</v>
      </c>
    </row>
    <row r="39" spans="1:5">
      <c r="A39" t="s">
        <v>89</v>
      </c>
      <c r="B39" t="s">
        <v>90</v>
      </c>
      <c r="C39" t="s">
        <v>91</v>
      </c>
      <c r="E39" t="s">
        <v>29</v>
      </c>
    </row>
    <row r="40" spans="1:5">
      <c r="D40">
        <v>6442069588</v>
      </c>
      <c r="E40" t="s">
        <v>29</v>
      </c>
    </row>
    <row r="41" spans="1:5">
      <c r="A41" t="s">
        <v>92</v>
      </c>
      <c r="B41" t="s">
        <v>93</v>
      </c>
      <c r="C41" t="s">
        <v>94</v>
      </c>
      <c r="D41">
        <v>6442061659</v>
      </c>
      <c r="E41" t="s">
        <v>10</v>
      </c>
    </row>
    <row r="42" spans="1:5">
      <c r="A42" t="s">
        <v>95</v>
      </c>
      <c r="E42" t="s">
        <v>10</v>
      </c>
    </row>
    <row r="43" spans="1:5">
      <c r="D43">
        <v>6441894591</v>
      </c>
    </row>
    <row r="44" spans="1:5">
      <c r="A44" s="20" t="s">
        <v>96</v>
      </c>
      <c r="B44" t="s">
        <v>97</v>
      </c>
      <c r="C44" s="171" t="s">
        <v>98</v>
      </c>
      <c r="E44" t="s">
        <v>10</v>
      </c>
    </row>
    <row r="45" spans="1:5">
      <c r="A45" t="s">
        <v>99</v>
      </c>
      <c r="B45" t="s">
        <v>100</v>
      </c>
      <c r="C45" t="s">
        <v>101</v>
      </c>
      <c r="E45" t="s">
        <v>102</v>
      </c>
    </row>
    <row r="46" spans="1:5">
      <c r="A46" t="s">
        <v>103</v>
      </c>
    </row>
    <row r="47" spans="1:5">
      <c r="A47" t="s">
        <v>104</v>
      </c>
      <c r="B47" t="s">
        <v>105</v>
      </c>
      <c r="C47" t="s">
        <v>106</v>
      </c>
      <c r="E47" t="s">
        <v>10</v>
      </c>
    </row>
    <row r="48" spans="1:5">
      <c r="A48" t="s">
        <v>107</v>
      </c>
      <c r="B48" t="s">
        <v>108</v>
      </c>
      <c r="C48" t="s">
        <v>109</v>
      </c>
      <c r="D48">
        <v>6442067023</v>
      </c>
      <c r="E48" t="s">
        <v>29</v>
      </c>
    </row>
    <row r="49" spans="1:5">
      <c r="D49">
        <v>6441234572</v>
      </c>
    </row>
    <row r="50" spans="1:5">
      <c r="A50" t="s">
        <v>110</v>
      </c>
      <c r="B50" t="s">
        <v>111</v>
      </c>
      <c r="C50" t="s">
        <v>112</v>
      </c>
      <c r="D50">
        <v>6441569951</v>
      </c>
      <c r="E50" t="s">
        <v>29</v>
      </c>
    </row>
    <row r="51" spans="1:5">
      <c r="A51" t="s">
        <v>113</v>
      </c>
      <c r="E51" t="s">
        <v>29</v>
      </c>
    </row>
  </sheetData>
  <hyperlinks>
    <hyperlink ref="C4" r:id="rId1" xr:uid="{D351CE03-DC28-4FB4-826F-810D409FA9C1}"/>
    <hyperlink ref="C33" r:id="rId2" xr:uid="{022517DE-C3F2-4455-83D8-15B4BAAB6796}"/>
    <hyperlink ref="C2" r:id="rId3" xr:uid="{3361D228-D165-4FFE-A875-5738D713FCE1}"/>
    <hyperlink ref="C5" r:id="rId4" xr:uid="{7FA801BB-DDEC-48FC-A5C0-8D6F4D1003AF}"/>
    <hyperlink ref="C6" r:id="rId5" xr:uid="{819C8664-F4CE-4C84-AB2B-D467BCDD7E18}"/>
    <hyperlink ref="C14" r:id="rId6" xr:uid="{CBA85CB0-C6BB-474D-9F80-A2F8557C9EB3}"/>
    <hyperlink ref="C17" r:id="rId7" xr:uid="{DE11FDE3-E5C4-416A-9955-95964011DB7B}"/>
    <hyperlink ref="C20" r:id="rId8" xr:uid="{009666B0-09F1-4206-A3C0-EAD4B6370716}"/>
    <hyperlink ref="C29" r:id="rId9" xr:uid="{18D845C1-70E4-4325-BDFB-4130678DED86}"/>
    <hyperlink ref="C30" r:id="rId10" xr:uid="{AEF274EF-6FFB-4CB2-92AB-3673A430BD61}"/>
    <hyperlink ref="C44" r:id="rId11" xr:uid="{B2045B1B-BF8F-4692-9A86-0BEC15DF6F21}"/>
  </hyperlinks>
  <pageMargins left="0.7" right="0.7" top="0.75" bottom="0.75" header="0.3" footer="0.3"/>
  <tableParts count="1">
    <tablePart r:id="rId1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9F28355-A308-4A4B-91FE-9E8990CA3B74}">
          <x14:formula1>
            <xm:f>RD!$B$4:$B$36</xm:f>
          </x14:formula1>
          <xm:sqref>A44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E75B-5888-45F4-A0ED-945F07A061D9}">
  <sheetPr codeName="Hoja3">
    <tabColor rgb="FF008000"/>
  </sheetPr>
  <dimension ref="A1:M36"/>
  <sheetViews>
    <sheetView showGridLines="0" workbookViewId="0">
      <selection activeCell="E5" sqref="E5"/>
    </sheetView>
  </sheetViews>
  <sheetFormatPr defaultColWidth="10" defaultRowHeight="16.5"/>
  <cols>
    <col min="1" max="1" width="18" style="6" customWidth="1"/>
    <col min="2" max="2" width="33.625" style="7" customWidth="1"/>
    <col min="3" max="3" width="10" style="6"/>
    <col min="4" max="4" width="11.375" style="6" bestFit="1" customWidth="1"/>
    <col min="5" max="5" width="10" style="6"/>
    <col min="6" max="7" width="13.75" style="6" customWidth="1"/>
    <col min="8" max="9" width="10" style="6"/>
    <col min="10" max="10" width="40.25" style="6" bestFit="1" customWidth="1"/>
    <col min="11" max="16384" width="10" style="6"/>
  </cols>
  <sheetData>
    <row r="1" spans="1:13" ht="11.25" customHeight="1"/>
    <row r="2" spans="1:13" ht="27" hidden="1" customHeight="1">
      <c r="B2" s="109" t="s">
        <v>114</v>
      </c>
      <c r="C2" s="8">
        <v>25</v>
      </c>
    </row>
    <row r="3" spans="1:13" s="11" customFormat="1" ht="27" customHeight="1">
      <c r="A3" s="113" t="s">
        <v>115</v>
      </c>
      <c r="B3" s="113" t="s">
        <v>116</v>
      </c>
      <c r="C3" s="114" t="str">
        <f>"1-"&amp;RIGHT($C$2,2)</f>
        <v>1-25</v>
      </c>
      <c r="D3" s="114" t="str">
        <f>"2-"&amp;RIGHT($C$2,2)</f>
        <v>2-25</v>
      </c>
      <c r="E3" s="114" t="str">
        <f>"3-"&amp;RIGHT($C$2,2)</f>
        <v>3-25</v>
      </c>
      <c r="F3" s="9" t="s">
        <v>117</v>
      </c>
      <c r="G3" s="9"/>
      <c r="H3" s="10"/>
      <c r="J3" s="113" t="s">
        <v>118</v>
      </c>
      <c r="K3" s="114" t="str">
        <f>"1-"&amp;RIGHT($C$2,2)</f>
        <v>1-25</v>
      </c>
      <c r="L3" s="114" t="str">
        <f>"2-"&amp;RIGHT($C$2,2)</f>
        <v>2-25</v>
      </c>
      <c r="M3" s="114" t="str">
        <f>"3-"&amp;RIGHT($C$2,2)</f>
        <v>3-25</v>
      </c>
    </row>
    <row r="4" spans="1:13" ht="17.25">
      <c r="A4" s="6" t="s">
        <v>10</v>
      </c>
      <c r="B4" s="7" t="s">
        <v>7</v>
      </c>
      <c r="C4" s="12" t="str">
        <f>IFERROR(_xlfn.XLOOKUP($B4&amp;C$3,MEJORAS[CÓDIGO 1],MEJORAS[FOLIO],,0),"")</f>
        <v/>
      </c>
      <c r="D4" s="12" t="str">
        <f>IFERROR(_xlfn.XLOOKUP($B4&amp;D$3,MEJORAS[CÓDIGO 1],MEJORAS[FOLIO],,0),"")</f>
        <v/>
      </c>
      <c r="E4" s="12" t="str">
        <f>IFERROR(_xlfn.XLOOKUP($B4&amp;E$3,MEJORAS[CÓDIGO 1],MEJORAS[FOLIO],,0),"")</f>
        <v/>
      </c>
      <c r="F4" s="5">
        <f>COUNTIFS(MEJORAS[ÁREA],$B4,MEJORAS[CÓDIGO 10 FUERA DE TIEMPO],0)</f>
        <v>0</v>
      </c>
      <c r="G4" s="5"/>
      <c r="J4" s="6" t="str" cm="1">
        <f t="array" ref="J4:J10">_xlfn.UNIQUE(A4:A36)</f>
        <v>TÉCNICA</v>
      </c>
      <c r="K4" s="6" cm="1">
        <f t="array" ref="K4">SUMPRODUCT(($A$4:$A$36=$J4)*(ISNUMBER(C$4:C$36)=FALSE)*(C$4:C$36&lt;&gt;""))</f>
        <v>3</v>
      </c>
      <c r="L4" s="6" cm="1">
        <f t="array" ref="L4">SUMPRODUCT(($A$4:$A$36=$J4)*(ISNUMBER(D$4:D$36)=FALSE)*(D$4:D$36&lt;&gt;""))</f>
        <v>1</v>
      </c>
      <c r="M4" s="6" cm="1">
        <f t="array" ref="M4">SUMPRODUCT(($A$4:$A$36=$J4)*(ISNUMBER(E$4:E$36)=FALSE)*(E$4:E$36&lt;&gt;""))</f>
        <v>1</v>
      </c>
    </row>
    <row r="5" spans="1:13" ht="17.25">
      <c r="A5" s="6" t="s">
        <v>10</v>
      </c>
      <c r="B5" s="7" t="s">
        <v>12</v>
      </c>
      <c r="C5" s="12" t="str">
        <f>IFERROR(_xlfn.XLOOKUP($B5&amp;C$3,MEJORAS[CÓDIGO 1],MEJORAS[FOLIO],,0),"")</f>
        <v/>
      </c>
      <c r="D5" s="12" t="str">
        <f>IFERROR(_xlfn.XLOOKUP($B5&amp;D$3,MEJORAS[CÓDIGO 1],MEJORAS[FOLIO],,0),"")</f>
        <v>OM#17\2025</v>
      </c>
      <c r="E5" s="12" t="str">
        <f>IFERROR(_xlfn.XLOOKUP($B5&amp;E$3,MEJORAS[CÓDIGO 1],MEJORAS[FOLIO],,0),"")</f>
        <v/>
      </c>
      <c r="F5" s="5">
        <f ca="1">COUNTIFS(MEJORAS[ÁREA],$B5,MEJORAS[CÓDIGO 10 FUERA DE TIEMPO],0)</f>
        <v>0</v>
      </c>
      <c r="G5" s="5"/>
      <c r="J5" s="6" t="str">
        <v>COMERCIAL</v>
      </c>
      <c r="K5" s="6" cm="1">
        <f t="array" ref="K5">SUMPRODUCT(($A$4:$A$36=$J5)*(ISNUMBER(C$4:C$36)=FALSE)*(C$4:C$36&lt;&gt;""))</f>
        <v>1</v>
      </c>
      <c r="L5" s="6" cm="1">
        <f t="array" ref="L5">SUMPRODUCT(($A$4:$A$36=$J5)*(ISNUMBER(D$4:D$36)=FALSE)*(D$4:D$36&lt;&gt;""))</f>
        <v>1</v>
      </c>
      <c r="M5" s="6" cm="1">
        <f t="array" ref="M5">SUMPRODUCT(($A$4:$A$36=$J5)*(ISNUMBER(E$4:E$36)=FALSE)*(E$4:E$36&lt;&gt;""))</f>
        <v>1</v>
      </c>
    </row>
    <row r="6" spans="1:13" ht="17.25">
      <c r="A6" s="6" t="s">
        <v>10</v>
      </c>
      <c r="B6" s="7" t="s">
        <v>19</v>
      </c>
      <c r="C6" s="12" t="str">
        <f>IFERROR(_xlfn.XLOOKUP($B6&amp;C$3,MEJORAS[CÓDIGO 1],MEJORAS[FOLIO],,0),"")</f>
        <v/>
      </c>
      <c r="D6" s="12" t="str">
        <f>IFERROR(_xlfn.XLOOKUP($B6&amp;D$3,MEJORAS[CÓDIGO 1],MEJORAS[FOLIO],,0),"")</f>
        <v/>
      </c>
      <c r="E6" s="12" t="str">
        <f>IFERROR(_xlfn.XLOOKUP($B6&amp;E$3,MEJORAS[CÓDIGO 1],MEJORAS[FOLIO],,0),"")</f>
        <v/>
      </c>
      <c r="F6" s="5">
        <f ca="1">COUNTIFS(MEJORAS[ÁREA],$B6,MEJORAS[CÓDIGO 10 FUERA DE TIEMPO],0)</f>
        <v>0</v>
      </c>
      <c r="G6" s="5"/>
      <c r="J6" s="6" t="str">
        <v>ADMINISTRATIVA</v>
      </c>
      <c r="K6" s="6" cm="1">
        <f t="array" ref="K6">SUMPRODUCT(($A$4:$A$36=$J6)*(ISNUMBER(C$4:C$36)=FALSE)*(C$4:C$36&lt;&gt;""))</f>
        <v>2</v>
      </c>
      <c r="L6" s="6" cm="1">
        <f t="array" ref="L6">SUMPRODUCT(($A$4:$A$36=$J6)*(ISNUMBER(D$4:D$36)=FALSE)*(D$4:D$36&lt;&gt;""))</f>
        <v>3</v>
      </c>
      <c r="M6" s="6" cm="1">
        <f t="array" ref="M6">SUMPRODUCT(($A$4:$A$36=$J6)*(ISNUMBER(E$4:E$36)=FALSE)*(E$4:E$36&lt;&gt;""))</f>
        <v>0</v>
      </c>
    </row>
    <row r="7" spans="1:13" ht="17.25">
      <c r="A7" s="6" t="s">
        <v>10</v>
      </c>
      <c r="B7" s="7" t="s">
        <v>32</v>
      </c>
      <c r="C7" s="12" t="str">
        <f>IFERROR(_xlfn.XLOOKUP($B7&amp;C$3,MEJORAS[CÓDIGO 1],MEJORAS[FOLIO],,0),"")</f>
        <v/>
      </c>
      <c r="D7" s="12" t="str">
        <f>IFERROR(_xlfn.XLOOKUP($B7&amp;D$3,MEJORAS[CÓDIGO 1],MEJORAS[FOLIO],,0),"")</f>
        <v/>
      </c>
      <c r="E7" s="12" t="str">
        <f>IFERROR(_xlfn.XLOOKUP($B7&amp;E$3,MEJORAS[CÓDIGO 1],MEJORAS[FOLIO],,0),"")</f>
        <v>OM#20\2025</v>
      </c>
      <c r="F7" s="5">
        <f ca="1">COUNTIFS(MEJORAS[ÁREA],$B7,MEJORAS[CÓDIGO 10 FUERA DE TIEMPO],0)</f>
        <v>0</v>
      </c>
      <c r="G7" s="5"/>
      <c r="J7" s="6" t="str">
        <v>ÓRGANO DE CONTROL INTERNO</v>
      </c>
      <c r="K7" s="6" cm="1">
        <f t="array" ref="K7">SUMPRODUCT(($A$4:$A$36=$J7)*(ISNUMBER(C$4:C$36)=FALSE)*(C$4:C$36&lt;&gt;""))</f>
        <v>1</v>
      </c>
      <c r="L7" s="6" cm="1">
        <f t="array" ref="L7">SUMPRODUCT(($A$4:$A$36=$J7)*(ISNUMBER(D$4:D$36)=FALSE)*(D$4:D$36&lt;&gt;""))</f>
        <v>1</v>
      </c>
      <c r="M7" s="6" cm="1">
        <f t="array" ref="M7">SUMPRODUCT(($A$4:$A$36=$J7)*(ISNUMBER(E$4:E$36)=FALSE)*(E$4:E$36&lt;&gt;""))</f>
        <v>0</v>
      </c>
    </row>
    <row r="8" spans="1:13" ht="17.25">
      <c r="A8" s="6" t="s">
        <v>10</v>
      </c>
      <c r="B8" s="7" t="s">
        <v>69</v>
      </c>
      <c r="C8" s="12" t="str">
        <f>IFERROR(_xlfn.XLOOKUP($B8&amp;C$3,MEJORAS[CÓDIGO 1],MEJORAS[FOLIO],,0),"")</f>
        <v>OM#3\2025</v>
      </c>
      <c r="D8" s="12" t="str">
        <f>IFERROR(_xlfn.XLOOKUP($B8&amp;D$3,MEJORAS[CÓDIGO 1],MEJORAS[FOLIO],,0),"")</f>
        <v/>
      </c>
      <c r="E8" s="115" t="str">
        <f>IFERROR(_xlfn.XLOOKUP($B8&amp;E$3,MEJORAS[CÓDIGO 1],MEJORAS[FOLIO],,0),"")</f>
        <v/>
      </c>
      <c r="F8" s="5">
        <f ca="1">COUNTIFS(MEJORAS[ÁREA],$B8,MEJORAS[CÓDIGO 10 FUERA DE TIEMPO],0)</f>
        <v>0</v>
      </c>
      <c r="G8" s="5"/>
      <c r="J8" s="6" t="str">
        <v>GENERAL</v>
      </c>
      <c r="K8" s="6" cm="1">
        <f t="array" ref="K8">SUMPRODUCT(($A$4:$A$36=$J8)*(ISNUMBER(C$4:C$36)=FALSE)*(C$4:C$36&lt;&gt;""))</f>
        <v>1</v>
      </c>
      <c r="L8" s="6" cm="1">
        <f t="array" ref="L8">SUMPRODUCT(($A$4:$A$36=$J8)*(ISNUMBER(D$4:D$36)=FALSE)*(D$4:D$36&lt;&gt;""))</f>
        <v>1</v>
      </c>
      <c r="M8" s="6" cm="1">
        <f t="array" ref="M8">SUMPRODUCT(($A$4:$A$36=$J8)*(ISNUMBER(E$4:E$36)=FALSE)*(E$4:E$36&lt;&gt;""))</f>
        <v>0</v>
      </c>
    </row>
    <row r="9" spans="1:13" ht="17.25">
      <c r="A9" s="6" t="s">
        <v>10</v>
      </c>
      <c r="B9" s="7" t="s">
        <v>92</v>
      </c>
      <c r="C9" s="12" t="str">
        <f>IFERROR(_xlfn.XLOOKUP($B9&amp;C$3,MEJORAS[CÓDIGO 1],MEJORAS[FOLIO],,0),"")</f>
        <v/>
      </c>
      <c r="D9" s="12" t="str">
        <f>IFERROR(_xlfn.XLOOKUP($B9&amp;D$3,MEJORAS[CÓDIGO 1],MEJORAS[FOLIO],,0),"")</f>
        <v/>
      </c>
      <c r="E9" s="12" t="str">
        <f>IFERROR(_xlfn.XLOOKUP($B9&amp;E$3,MEJORAS[CÓDIGO 1],MEJORAS[FOLIO],,0),"")</f>
        <v/>
      </c>
      <c r="F9" s="5">
        <f ca="1">COUNTIFS(MEJORAS[ÁREA],$B9,MEJORAS[CÓDIGO 10 FUERA DE TIEMPO],0)</f>
        <v>0</v>
      </c>
      <c r="G9" s="5"/>
      <c r="J9" s="6" t="str">
        <v>JURÍDICA</v>
      </c>
      <c r="K9" s="6" cm="1">
        <f t="array" ref="K9">SUMPRODUCT(($A$4:$A$36=$J9)*(ISNUMBER(C$4:C$36)=FALSE)*(C$4:C$36&lt;&gt;""))</f>
        <v>1</v>
      </c>
      <c r="L9" s="6" cm="1">
        <f t="array" ref="L9">SUMPRODUCT(($A$4:$A$36=$J9)*(ISNUMBER(D$4:D$36)=FALSE)*(D$4:D$36&lt;&gt;""))</f>
        <v>1</v>
      </c>
      <c r="M9" s="6" cm="1">
        <f t="array" ref="M9">SUMPRODUCT(($A$4:$A$36=$J9)*(ISNUMBER(E$4:E$36)=FALSE)*(E$4:E$36&lt;&gt;""))</f>
        <v>1</v>
      </c>
    </row>
    <row r="10" spans="1:13" ht="17.25">
      <c r="A10" s="6" t="s">
        <v>10</v>
      </c>
      <c r="B10" s="7" t="s">
        <v>95</v>
      </c>
      <c r="C10" s="12" t="str">
        <f>IFERROR(_xlfn.XLOOKUP($B10&amp;C$3,MEJORAS[CÓDIGO 1],MEJORAS[FOLIO],,0),"")</f>
        <v/>
      </c>
      <c r="D10" s="12" t="str">
        <f>IFERROR(_xlfn.XLOOKUP($B10&amp;D$3,MEJORAS[CÓDIGO 1],MEJORAS[FOLIO],,0),"")</f>
        <v/>
      </c>
      <c r="E10" s="12" t="str">
        <f>IFERROR(_xlfn.XLOOKUP($B10&amp;E$3,MEJORAS[CÓDIGO 1],MEJORAS[FOLIO],,0),"")</f>
        <v/>
      </c>
      <c r="F10" s="5">
        <f>COUNTIFS(MEJORAS[ÁREA],$B10,MEJORAS[CÓDIGO 10 FUERA DE TIEMPO],0)</f>
        <v>0</v>
      </c>
      <c r="G10" s="5"/>
      <c r="J10" s="6" t="str">
        <v>PROGRAMAS SOCIALES Y CULTURA DEL AGUA</v>
      </c>
      <c r="K10" s="6" cm="1">
        <f t="array" ref="K10">SUMPRODUCT(($A$4:$A$36=$J10)*(ISNUMBER(C$4:C$36)=FALSE)*(C$4:C$36&lt;&gt;""))</f>
        <v>1</v>
      </c>
      <c r="L10" s="6" cm="1">
        <f t="array" ref="L10">SUMPRODUCT(($A$4:$A$36=$J10)*(ISNUMBER(D$4:D$36)=FALSE)*(D$4:D$36&lt;&gt;""))</f>
        <v>1</v>
      </c>
      <c r="M10" s="6" cm="1">
        <f t="array" ref="M10">SUMPRODUCT(($A$4:$A$36=$J10)*(ISNUMBER(E$4:E$36)=FALSE)*(E$4:E$36&lt;&gt;""))</f>
        <v>1</v>
      </c>
    </row>
    <row r="11" spans="1:13" ht="17.25">
      <c r="A11" s="6" t="s">
        <v>10</v>
      </c>
      <c r="B11" s="7" t="s">
        <v>96</v>
      </c>
      <c r="C11" s="12" t="str">
        <f>IFERROR(_xlfn.XLOOKUP($B11&amp;C$3,MEJORAS[CÓDIGO 1],MEJORAS[FOLIO],,0),"")</f>
        <v>OM#1\2025</v>
      </c>
      <c r="D11" s="12" t="str">
        <f>IFERROR(_xlfn.XLOOKUP($B11&amp;D$3,MEJORAS[CÓDIGO 1],MEJORAS[FOLIO],,0),"")</f>
        <v/>
      </c>
      <c r="E11" s="12" t="str">
        <f>IFERROR(_xlfn.XLOOKUP($B11&amp;E$3,MEJORAS[CÓDIGO 1],MEJORAS[FOLIO],,0),"")</f>
        <v/>
      </c>
      <c r="F11" s="5">
        <f>COUNTIFS(MEJORAS[ÁREA],$B11,MEJORAS[CÓDIGO 10 FUERA DE TIEMPO],0)</f>
        <v>0</v>
      </c>
      <c r="G11" s="5"/>
    </row>
    <row r="12" spans="1:13" ht="17.25">
      <c r="A12" s="6" t="s">
        <v>10</v>
      </c>
      <c r="B12" s="7" t="s">
        <v>104</v>
      </c>
      <c r="C12" s="12" t="str">
        <f>IFERROR(_xlfn.XLOOKUP($B12&amp;C$3,MEJORAS[CÓDIGO 1],MEJORAS[FOLIO],,0),"")</f>
        <v>OM#2\2025</v>
      </c>
      <c r="D12" s="12" t="str">
        <f>IFERROR(_xlfn.XLOOKUP($B12&amp;D$3,MEJORAS[CÓDIGO 1],MEJORAS[FOLIO],,0),"")</f>
        <v/>
      </c>
      <c r="E12" s="12" t="str">
        <f>IFERROR(_xlfn.XLOOKUP($B12&amp;E$3,MEJORAS[CÓDIGO 1],MEJORAS[FOLIO],,0),"")</f>
        <v/>
      </c>
      <c r="F12" s="5">
        <f>COUNTIFS(MEJORAS[ÁREA],$B12,MEJORAS[CÓDIGO 10 FUERA DE TIEMPO],0)</f>
        <v>0</v>
      </c>
      <c r="G12" s="5"/>
    </row>
    <row r="13" spans="1:13" ht="17.25">
      <c r="A13" s="6" t="s">
        <v>29</v>
      </c>
      <c r="B13" s="7" t="s">
        <v>119</v>
      </c>
      <c r="C13" s="12" t="str">
        <f>IFERROR(_xlfn.XLOOKUP($B13&amp;C$3,MEJORAS[CÓDIGO 1],MEJORAS[FOLIO],,0),"")</f>
        <v/>
      </c>
      <c r="D13" s="12" t="str">
        <f>IFERROR(_xlfn.XLOOKUP($B13&amp;D$3,MEJORAS[CÓDIGO 1],MEJORAS[FOLIO],,0),"")</f>
        <v/>
      </c>
      <c r="E13" s="12" t="str">
        <f>IFERROR(_xlfn.XLOOKUP($B13&amp;E$3,MEJORAS[CÓDIGO 1],MEJORAS[FOLIO],,0),"")</f>
        <v/>
      </c>
      <c r="F13" s="5">
        <f>COUNTIFS(MEJORAS[ÁREA],$B13,MEJORAS[CÓDIGO 10 FUERA DE TIEMPO],0)</f>
        <v>0</v>
      </c>
      <c r="G13" s="5"/>
    </row>
    <row r="14" spans="1:13" ht="17.25">
      <c r="A14" s="6" t="s">
        <v>29</v>
      </c>
      <c r="B14" s="7" t="s">
        <v>85</v>
      </c>
      <c r="C14" s="12" t="str">
        <f>IFERROR(_xlfn.XLOOKUP($B14&amp;C$3,MEJORAS[CÓDIGO 1],MEJORAS[FOLIO],,0),"")</f>
        <v/>
      </c>
      <c r="D14" s="12" t="str">
        <f>IFERROR(_xlfn.XLOOKUP($B14&amp;D$3,MEJORAS[CÓDIGO 1],MEJORAS[FOLIO],,0),"")</f>
        <v/>
      </c>
      <c r="E14" s="12" t="str">
        <f>IFERROR(_xlfn.XLOOKUP($B14&amp;E$3,MEJORAS[CÓDIGO 1],MEJORAS[FOLIO],,0),"")</f>
        <v/>
      </c>
      <c r="F14" s="5">
        <f>COUNTIFS(MEJORAS[ÁREA],$B14,MEJORAS[CÓDIGO 10 FUERA DE TIEMPO],0)</f>
        <v>0</v>
      </c>
      <c r="G14" s="116"/>
    </row>
    <row r="15" spans="1:13" ht="17.25">
      <c r="A15" s="6" t="s">
        <v>29</v>
      </c>
      <c r="B15" s="7" t="s">
        <v>26</v>
      </c>
      <c r="C15" s="12" t="str">
        <f>IFERROR(_xlfn.XLOOKUP($B15&amp;C$3,MEJORAS[CÓDIGO 1],MEJORAS[FOLIO],,0),"")</f>
        <v>OM#7\2025</v>
      </c>
      <c r="D15" s="12" t="str">
        <f>IFERROR(_xlfn.XLOOKUP($B15&amp;D$3,MEJORAS[CÓDIGO 1],MEJORAS[FOLIO],,0),"")</f>
        <v/>
      </c>
      <c r="E15" s="12" t="str">
        <f>IFERROR(_xlfn.XLOOKUP($B15&amp;E$3,MEJORAS[CÓDIGO 1],MEJORAS[FOLIO],,0),"")</f>
        <v/>
      </c>
      <c r="F15" s="5">
        <f ca="1">COUNTIFS(MEJORAS[ÁREA],$B15,MEJORAS[CÓDIGO 10 FUERA DE TIEMPO],0)</f>
        <v>0</v>
      </c>
      <c r="G15" s="5"/>
    </row>
    <row r="16" spans="1:13" ht="17.25">
      <c r="A16" s="6" t="s">
        <v>29</v>
      </c>
      <c r="B16" s="7" t="s">
        <v>63</v>
      </c>
      <c r="C16" s="12" t="str">
        <f>IFERROR(_xlfn.XLOOKUP($B16&amp;C$3,MEJORAS[CÓDIGO 1],MEJORAS[FOLIO],,0),"")</f>
        <v/>
      </c>
      <c r="D16" s="12" t="str">
        <f>IFERROR(_xlfn.XLOOKUP($B16&amp;D$3,MEJORAS[CÓDIGO 1],MEJORAS[FOLIO],,0),"")</f>
        <v/>
      </c>
      <c r="E16" s="12" t="str">
        <f>IFERROR(_xlfn.XLOOKUP($B16&amp;E$3,MEJORAS[CÓDIGO 1],MEJORAS[FOLIO],,0),"")</f>
        <v/>
      </c>
      <c r="F16" s="5">
        <f>COUNTIFS(MEJORAS[ÁREA],$B16,MEJORAS[CÓDIGO 10 FUERA DE TIEMPO],0)</f>
        <v>0</v>
      </c>
      <c r="G16" s="5"/>
    </row>
    <row r="17" spans="1:7" ht="17.25">
      <c r="A17" s="6" t="s">
        <v>29</v>
      </c>
      <c r="B17" s="7" t="s">
        <v>66</v>
      </c>
      <c r="C17" s="12" t="str">
        <f>IFERROR(_xlfn.XLOOKUP($B17&amp;C$3,MEJORAS[CÓDIGO 1],MEJORAS[FOLIO],,0),"")</f>
        <v/>
      </c>
      <c r="D17" s="12" t="str">
        <f>IFERROR(_xlfn.XLOOKUP($B17&amp;D$3,MEJORAS[CÓDIGO 1],MEJORAS[FOLIO],,0),"")</f>
        <v>OM#15\2025</v>
      </c>
      <c r="E17" s="12" t="str">
        <f>IFERROR(_xlfn.XLOOKUP($B17&amp;E$3,MEJORAS[CÓDIGO 1],MEJORAS[FOLIO],,0),"")</f>
        <v>OM#22\2025</v>
      </c>
      <c r="F17" s="5">
        <f ca="1">COUNTIFS(MEJORAS[ÁREA],$B17,MEJORAS[CÓDIGO 10 FUERA DE TIEMPO],0)</f>
        <v>0</v>
      </c>
      <c r="G17" s="5"/>
    </row>
    <row r="18" spans="1:7" ht="17.25">
      <c r="A18" s="6" t="s">
        <v>29</v>
      </c>
      <c r="B18" s="7" t="s">
        <v>81</v>
      </c>
      <c r="C18" s="12" t="str">
        <f>IFERROR(_xlfn.XLOOKUP($B18&amp;C$3,MEJORAS[CÓDIGO 1],MEJORAS[FOLIO],,0),"")</f>
        <v/>
      </c>
      <c r="D18" s="12" t="str">
        <f>IFERROR(_xlfn.XLOOKUP($B18&amp;D$3,MEJORAS[CÓDIGO 1],MEJORAS[FOLIO],,0),"")</f>
        <v/>
      </c>
      <c r="E18" s="12" t="str">
        <f>IFERROR(_xlfn.XLOOKUP($B18&amp;E$3,MEJORAS[CÓDIGO 1],MEJORAS[FOLIO],,0),"")</f>
        <v/>
      </c>
      <c r="F18" s="5">
        <f>COUNTIFS(MEJORAS[ÁREA],$B18,MEJORAS[CÓDIGO 10 FUERA DE TIEMPO],0)</f>
        <v>0</v>
      </c>
      <c r="G18" s="5"/>
    </row>
    <row r="19" spans="1:7" ht="17.25">
      <c r="A19" s="6" t="s">
        <v>29</v>
      </c>
      <c r="B19" s="7" t="s">
        <v>84</v>
      </c>
      <c r="C19" s="12" t="str">
        <f>IFERROR(_xlfn.XLOOKUP($B19&amp;C$3,MEJORAS[CÓDIGO 1],MEJORAS[FOLIO],,0),"")</f>
        <v/>
      </c>
      <c r="D19" s="12" t="str">
        <f>IFERROR(_xlfn.XLOOKUP($B19&amp;D$3,MEJORAS[CÓDIGO 1],MEJORAS[FOLIO],,0),"")</f>
        <v/>
      </c>
      <c r="E19" s="12" t="str">
        <f>IFERROR(_xlfn.XLOOKUP($B19&amp;E$3,MEJORAS[CÓDIGO 1],MEJORAS[FOLIO],,0),"")</f>
        <v/>
      </c>
      <c r="F19" s="5">
        <f>COUNTIFS(MEJORAS[ÁREA],$B19,MEJORAS[CÓDIGO 10 FUERA DE TIEMPO],0)</f>
        <v>0</v>
      </c>
      <c r="G19" s="5"/>
    </row>
    <row r="20" spans="1:7" ht="17.25">
      <c r="A20" s="6" t="s">
        <v>29</v>
      </c>
      <c r="B20" s="7" t="s">
        <v>86</v>
      </c>
      <c r="C20" s="12" t="str">
        <f>IFERROR(_xlfn.XLOOKUP($B20&amp;C$3,MEJORAS[CÓDIGO 1],MEJORAS[FOLIO],,0),"")</f>
        <v/>
      </c>
      <c r="D20" s="12" t="str">
        <f>IFERROR(_xlfn.XLOOKUP($B20&amp;D$3,MEJORAS[CÓDIGO 1],MEJORAS[FOLIO],,0),"")</f>
        <v/>
      </c>
      <c r="E20" s="12" t="str">
        <f>IFERROR(_xlfn.XLOOKUP($B20&amp;E$3,MEJORAS[CÓDIGO 1],MEJORAS[FOLIO],,0),"")</f>
        <v/>
      </c>
      <c r="F20" s="5">
        <f>COUNTIFS(MEJORAS[ÁREA],$B20,MEJORAS[CÓDIGO 10 FUERA DE TIEMPO],0)</f>
        <v>0</v>
      </c>
      <c r="G20" s="5"/>
    </row>
    <row r="21" spans="1:7" ht="17.25">
      <c r="A21" s="6" t="s">
        <v>29</v>
      </c>
      <c r="B21" s="7" t="s">
        <v>89</v>
      </c>
      <c r="C21" s="12" t="str">
        <f>IFERROR(_xlfn.XLOOKUP($B21&amp;C$3,MEJORAS[CÓDIGO 1],MEJORAS[FOLIO],,0),"")</f>
        <v/>
      </c>
      <c r="D21" s="12" t="str">
        <f>IFERROR(_xlfn.XLOOKUP($B21&amp;D$3,MEJORAS[CÓDIGO 1],MEJORAS[FOLIO],,0),"")</f>
        <v/>
      </c>
      <c r="E21" s="12" t="str">
        <f>IFERROR(_xlfn.XLOOKUP($B21&amp;E$3,MEJORAS[CÓDIGO 1],MEJORAS[FOLIO],,0),"")</f>
        <v/>
      </c>
      <c r="F21" s="5">
        <f>COUNTIFS(MEJORAS[ÁREA],$B21,MEJORAS[CÓDIGO 10 FUERA DE TIEMPO],0)</f>
        <v>0</v>
      </c>
      <c r="G21" s="5"/>
    </row>
    <row r="22" spans="1:7" ht="17.25">
      <c r="A22" s="6" t="s">
        <v>29</v>
      </c>
      <c r="B22" s="7" t="s">
        <v>120</v>
      </c>
      <c r="C22" s="12" t="str">
        <f>IFERROR(_xlfn.XLOOKUP($B22&amp;C$3,MEJORAS[CÓDIGO 1],MEJORAS[FOLIO],,0),"")</f>
        <v/>
      </c>
      <c r="D22" s="12" t="str">
        <f>IFERROR(_xlfn.XLOOKUP($B22&amp;D$3,MEJORAS[CÓDIGO 1],MEJORAS[FOLIO],,0),"")</f>
        <v/>
      </c>
      <c r="E22" s="12" t="str">
        <f>IFERROR(_xlfn.XLOOKUP($B22&amp;E$3,MEJORAS[CÓDIGO 1],MEJORAS[FOLIO],,0),"")</f>
        <v/>
      </c>
      <c r="F22" s="5">
        <f>COUNTIFS(MEJORAS[ÁREA],$B22,MEJORAS[CÓDIGO 10 FUERA DE TIEMPO],0)</f>
        <v>0</v>
      </c>
      <c r="G22" s="5"/>
    </row>
    <row r="23" spans="1:7" ht="17.25">
      <c r="A23" s="6" t="s">
        <v>29</v>
      </c>
      <c r="B23" s="7" t="s">
        <v>110</v>
      </c>
      <c r="C23" s="12" t="str">
        <f>IFERROR(_xlfn.XLOOKUP($B23&amp;C$3,MEJORAS[CÓDIGO 1],MEJORAS[FOLIO],,0),"")</f>
        <v/>
      </c>
      <c r="D23" s="12" t="str">
        <f>IFERROR(_xlfn.XLOOKUP($B23&amp;D$3,MEJORAS[CÓDIGO 1],MEJORAS[FOLIO],,0),"")</f>
        <v/>
      </c>
      <c r="E23" s="12" t="str">
        <f>IFERROR(_xlfn.XLOOKUP($B23&amp;E$3,MEJORAS[CÓDIGO 1],MEJORAS[FOLIO],,0),"")</f>
        <v/>
      </c>
      <c r="F23" s="5">
        <f>COUNTIFS(MEJORAS[ÁREA],$B23,MEJORAS[CÓDIGO 10 FUERA DE TIEMPO],0)</f>
        <v>0</v>
      </c>
      <c r="G23" s="5"/>
    </row>
    <row r="24" spans="1:7" ht="17.25">
      <c r="A24" s="6" t="s">
        <v>18</v>
      </c>
      <c r="B24" s="7" t="s">
        <v>15</v>
      </c>
      <c r="C24" s="12" t="str">
        <f>IFERROR(_xlfn.XLOOKUP($B24&amp;C$3,MEJORAS[CÓDIGO 1],MEJORAS[FOLIO],,0),"")</f>
        <v/>
      </c>
      <c r="D24" s="12" t="str">
        <f>IFERROR(_xlfn.XLOOKUP($B24&amp;D$3,MEJORAS[CÓDIGO 1],MEJORAS[FOLIO],,0),"")</f>
        <v>OM#13\2025</v>
      </c>
      <c r="E24" s="12" t="str">
        <f>IFERROR(_xlfn.XLOOKUP($B24&amp;E$3,MEJORAS[CÓDIGO 1],MEJORAS[FOLIO],,0),"")</f>
        <v/>
      </c>
      <c r="F24" s="5">
        <f ca="1">COUNTIFS(MEJORAS[ÁREA],$B24,MEJORAS[CÓDIGO 10 FUERA DE TIEMPO],0)</f>
        <v>0</v>
      </c>
      <c r="G24" s="5"/>
    </row>
    <row r="25" spans="1:7" ht="17.25">
      <c r="A25" s="6" t="s">
        <v>18</v>
      </c>
      <c r="B25" s="7" t="s">
        <v>23</v>
      </c>
      <c r="C25" s="12" t="str">
        <f>IFERROR(_xlfn.XLOOKUP($B25&amp;C$3,MEJORAS[CÓDIGO 1],MEJORAS[FOLIO],,0),"")</f>
        <v/>
      </c>
      <c r="D25" s="12" t="str">
        <f>IFERROR(_xlfn.XLOOKUP($B25&amp;D$3,MEJORAS[CÓDIGO 1],MEJORAS[FOLIO],,0),"")</f>
        <v/>
      </c>
      <c r="E25" s="12" t="str">
        <f>IFERROR(_xlfn.XLOOKUP($B25&amp;E$3,MEJORAS[CÓDIGO 1],MEJORAS[FOLIO],,0),"")</f>
        <v/>
      </c>
      <c r="F25" s="5">
        <f>COUNTIFS(MEJORAS[ÁREA],$B25,MEJORAS[CÓDIGO 10 FUERA DE TIEMPO],0)</f>
        <v>0</v>
      </c>
      <c r="G25" s="5"/>
    </row>
    <row r="26" spans="1:7" ht="17.25">
      <c r="A26" s="6" t="s">
        <v>18</v>
      </c>
      <c r="B26" s="7" t="s">
        <v>37</v>
      </c>
      <c r="C26" s="12" t="str">
        <f>IFERROR(_xlfn.XLOOKUP($B26&amp;C$3,MEJORAS[CÓDIGO 1],MEJORAS[FOLIO],,0),"")</f>
        <v>OM#4\2025</v>
      </c>
      <c r="D26" s="12" t="str">
        <f>IFERROR(_xlfn.XLOOKUP($B26&amp;D$3,MEJORAS[CÓDIGO 1],MEJORAS[FOLIO],,0),"")</f>
        <v/>
      </c>
      <c r="E26" s="12" t="str">
        <f>IFERROR(_xlfn.XLOOKUP($B26&amp;E$3,MEJORAS[CÓDIGO 1],MEJORAS[FOLIO],,0),"")</f>
        <v/>
      </c>
      <c r="F26" s="5">
        <f ca="1">COUNTIFS(MEJORAS[ÁREA],$B26,MEJORAS[CÓDIGO 10 FUERA DE TIEMPO],0)</f>
        <v>0</v>
      </c>
      <c r="G26" s="5"/>
    </row>
    <row r="27" spans="1:7" ht="17.25">
      <c r="A27" s="6" t="s">
        <v>18</v>
      </c>
      <c r="B27" s="7" t="s">
        <v>46</v>
      </c>
      <c r="C27" s="12" t="str">
        <f>IFERROR(_xlfn.XLOOKUP($B27&amp;C$3,MEJORAS[CÓDIGO 1],MEJORAS[FOLIO],,0),"")</f>
        <v>OM#8\2025</v>
      </c>
      <c r="D27" s="12" t="str">
        <f>IFERROR(_xlfn.XLOOKUP($B27&amp;D$3,MEJORAS[CÓDIGO 1],MEJORAS[FOLIO],,0),"")</f>
        <v/>
      </c>
      <c r="E27" s="12" t="str">
        <f>IFERROR(_xlfn.XLOOKUP($B27&amp;E$3,MEJORAS[CÓDIGO 1],MEJORAS[FOLIO],,0),"")</f>
        <v/>
      </c>
      <c r="F27" s="5">
        <f ca="1">COUNTIFS(MEJORAS[ÁREA],$B27,MEJORAS[CÓDIGO 10 FUERA DE TIEMPO],0)</f>
        <v>0</v>
      </c>
      <c r="G27" s="5"/>
    </row>
    <row r="28" spans="1:7" ht="17.25">
      <c r="A28" s="6" t="s">
        <v>18</v>
      </c>
      <c r="B28" s="7" t="s">
        <v>54</v>
      </c>
      <c r="C28" s="12" t="str">
        <f>IFERROR(_xlfn.XLOOKUP($B28&amp;C$3,MEJORAS[CÓDIGO 1],MEJORAS[FOLIO],,0),"")</f>
        <v/>
      </c>
      <c r="D28" s="12" t="str">
        <f>IFERROR(_xlfn.XLOOKUP($B28&amp;D$3,MEJORAS[CÓDIGO 1],MEJORAS[FOLIO],,0),"")</f>
        <v>OM#16\2025</v>
      </c>
      <c r="E28" s="12" t="str">
        <f>IFERROR(_xlfn.XLOOKUP($B28&amp;E$3,MEJORAS[CÓDIGO 1],MEJORAS[FOLIO],,0),"")</f>
        <v/>
      </c>
      <c r="F28" s="5">
        <f ca="1">COUNTIFS(MEJORAS[ÁREA],$B28,MEJORAS[CÓDIGO 10 FUERA DE TIEMPO],0)</f>
        <v>0</v>
      </c>
      <c r="G28" s="5"/>
    </row>
    <row r="29" spans="1:7" ht="15.75" customHeight="1">
      <c r="A29" s="6" t="s">
        <v>18</v>
      </c>
      <c r="B29" s="7" t="s">
        <v>72</v>
      </c>
      <c r="C29" s="12" t="str">
        <f>IFERROR(_xlfn.XLOOKUP($B29&amp;C$3,MEJORAS[CÓDIGO 1],MEJORAS[FOLIO],,0),"")</f>
        <v/>
      </c>
      <c r="D29" s="12" t="str">
        <f>IFERROR(_xlfn.XLOOKUP($B29&amp;D$3,MEJORAS[CÓDIGO 1],MEJORAS[FOLIO],,0),"")</f>
        <v/>
      </c>
      <c r="E29" s="12" t="str">
        <f>IFERROR(_xlfn.XLOOKUP($B29&amp;E$3,MEJORAS[CÓDIGO 1],MEJORAS[FOLIO],,0),"")</f>
        <v/>
      </c>
      <c r="F29" s="5">
        <f ca="1">COUNTIFS(MEJORAS[ÁREA],$B29,MEJORAS[CÓDIGO 10 FUERA DE TIEMPO],0)</f>
        <v>0</v>
      </c>
      <c r="G29" s="5"/>
    </row>
    <row r="30" spans="1:7" ht="17.25">
      <c r="A30" s="6" t="s">
        <v>18</v>
      </c>
      <c r="B30" s="7" t="s">
        <v>75</v>
      </c>
      <c r="C30" s="12" t="str">
        <f>IFERROR(_xlfn.XLOOKUP($B30&amp;C$3,MEJORAS[CÓDIGO 1],MEJORAS[FOLIO],,0),"")</f>
        <v/>
      </c>
      <c r="D30" s="12" t="str">
        <f>IFERROR(_xlfn.XLOOKUP($B30&amp;D$3,MEJORAS[CÓDIGO 1],MEJORAS[FOLIO],,0),"")</f>
        <v>OM#12\2025</v>
      </c>
      <c r="E30" s="12" t="str">
        <f>IFERROR(_xlfn.XLOOKUP($B30&amp;E$3,MEJORAS[CÓDIGO 1],MEJORAS[FOLIO],,0),"")</f>
        <v/>
      </c>
      <c r="F30" s="5">
        <f ca="1">COUNTIFS(MEJORAS[ÁREA],$B30,MEJORAS[CÓDIGO 10 FUERA DE TIEMPO],0)</f>
        <v>0</v>
      </c>
      <c r="G30" s="5"/>
    </row>
    <row r="31" spans="1:7" ht="17.25">
      <c r="A31" s="6" t="s">
        <v>18</v>
      </c>
      <c r="B31" s="7" t="s">
        <v>78</v>
      </c>
      <c r="C31" s="12" t="str">
        <f>IFERROR(_xlfn.XLOOKUP($B31&amp;C$3,MEJORAS[CÓDIGO 1],MEJORAS[FOLIO],,0),"")</f>
        <v/>
      </c>
      <c r="D31" s="12" t="str">
        <f>IFERROR(_xlfn.XLOOKUP($B31&amp;D$3,MEJORAS[CÓDIGO 1],MEJORAS[FOLIO],,0),"")</f>
        <v/>
      </c>
      <c r="E31" s="12" t="str">
        <f>IFERROR(_xlfn.XLOOKUP($B31&amp;E$3,MEJORAS[CÓDIGO 1],MEJORAS[FOLIO],,0),"")</f>
        <v/>
      </c>
      <c r="F31" s="5">
        <f>COUNTIFS(MEJORAS[ÁREA],$B31,MEJORAS[CÓDIGO 10 FUERA DE TIEMPO],0)</f>
        <v>0</v>
      </c>
      <c r="G31" s="5"/>
    </row>
    <row r="32" spans="1:7" ht="17.25">
      <c r="A32" s="6" t="s">
        <v>62</v>
      </c>
      <c r="B32" s="7" t="s">
        <v>59</v>
      </c>
      <c r="C32" s="12" t="str">
        <f>IFERROR(_xlfn.XLOOKUP($B32&amp;C$3,MEJORAS[CÓDIGO 1],MEJORAS[FOLIO],,0),"")</f>
        <v>OM#9\2025</v>
      </c>
      <c r="D32" s="12" t="str">
        <f>IFERROR(_xlfn.XLOOKUP($B32&amp;D$3,MEJORAS[CÓDIGO 1],MEJORAS[FOLIO],,0),"")</f>
        <v>OM#19\2025</v>
      </c>
      <c r="E32" s="12" t="str">
        <f>IFERROR(_xlfn.XLOOKUP($B32&amp;E$3,MEJORAS[CÓDIGO 1],MEJORAS[FOLIO],,0),"")</f>
        <v/>
      </c>
      <c r="F32" s="5">
        <f ca="1">COUNTIFS(MEJORAS[ÁREA],$B32,MEJORAS[CÓDIGO 10 FUERA DE TIEMPO],0)</f>
        <v>0</v>
      </c>
      <c r="G32" s="5"/>
    </row>
    <row r="33" spans="1:7" ht="17.25">
      <c r="A33" s="6" t="s">
        <v>36</v>
      </c>
      <c r="B33" s="7" t="s">
        <v>35</v>
      </c>
      <c r="C33" s="12" t="str">
        <f>IFERROR(_xlfn.XLOOKUP($B33&amp;C$3,MEJORAS[CÓDIGO 1],MEJORAS[FOLIO],,0),"")</f>
        <v>OM#5\2025</v>
      </c>
      <c r="D33" s="12" t="str">
        <f>IFERROR(_xlfn.XLOOKUP($B33&amp;D$3,MEJORAS[CÓDIGO 1],MEJORAS[FOLIO],,0),"")</f>
        <v>OM#18\2025</v>
      </c>
      <c r="E33" s="12" t="str">
        <f>IFERROR(_xlfn.XLOOKUP($B33&amp;E$3,MEJORAS[CÓDIGO 1],MEJORAS[FOLIO],,0),"")</f>
        <v/>
      </c>
      <c r="F33" s="5">
        <f ca="1">COUNTIFS(MEJORAS[ÁREA],$B33,MEJORAS[CÓDIGO 10 FUERA DE TIEMPO],0)</f>
        <v>0</v>
      </c>
      <c r="G33" s="5"/>
    </row>
    <row r="34" spans="1:7" ht="17.25">
      <c r="A34" s="6" t="s">
        <v>36</v>
      </c>
      <c r="B34" s="7" t="s">
        <v>51</v>
      </c>
      <c r="C34" s="12" t="str">
        <f>IFERROR(_xlfn.XLOOKUP($B34&amp;C$3,MEJORAS[CÓDIGO 1],MEJORAS[FOLIO],,0),"")</f>
        <v/>
      </c>
      <c r="D34" s="12" t="str">
        <f>IFERROR(_xlfn.XLOOKUP($B34&amp;D$3,MEJORAS[CÓDIGO 1],MEJORAS[FOLIO],,0),"")</f>
        <v/>
      </c>
      <c r="E34" s="12" t="str">
        <f>IFERROR(_xlfn.XLOOKUP($B34&amp;E$3,MEJORAS[CÓDIGO 1],MEJORAS[FOLIO],,0),"")</f>
        <v/>
      </c>
      <c r="F34" s="5">
        <f>COUNTIFS(MEJORAS[ÁREA],$B34,MEJORAS[CÓDIGO 10 FUERA DE TIEMPO],0)</f>
        <v>0</v>
      </c>
      <c r="G34" s="5"/>
    </row>
    <row r="35" spans="1:7" ht="17.25">
      <c r="A35" s="6" t="s">
        <v>45</v>
      </c>
      <c r="B35" s="7" t="s">
        <v>42</v>
      </c>
      <c r="C35" s="12" t="str">
        <f>IFERROR(_xlfn.XLOOKUP($B35&amp;C$3,MEJORAS[CÓDIGO 1],MEJORAS[FOLIO],,0),"")</f>
        <v>OM#10\2025</v>
      </c>
      <c r="D35" s="12" t="str">
        <f>IFERROR(_xlfn.XLOOKUP($B35&amp;D$3,MEJORAS[CÓDIGO 1],MEJORAS[FOLIO],,0),"")</f>
        <v>OM#14\2025</v>
      </c>
      <c r="E35" s="12" t="str">
        <f>IFERROR(_xlfn.XLOOKUP($B35&amp;E$3,MEJORAS[CÓDIGO 1],MEJORAS[FOLIO],,0),"")</f>
        <v>OM#21\2025</v>
      </c>
      <c r="F35" s="5">
        <f ca="1">COUNTIFS(MEJORAS[ÁREA],$B35,MEJORAS[CÓDIGO 10 FUERA DE TIEMPO],0)</f>
        <v>0</v>
      </c>
      <c r="G35" s="5"/>
    </row>
    <row r="36" spans="1:7" ht="17.25">
      <c r="A36" s="6" t="s">
        <v>102</v>
      </c>
      <c r="B36" s="7" t="s">
        <v>99</v>
      </c>
      <c r="C36" s="12" t="str">
        <f>IFERROR(_xlfn.XLOOKUP($B36&amp;C$3,MEJORAS[CÓDIGO 1],MEJORAS[FOLIO],,0),"")</f>
        <v>OM#6\2025</v>
      </c>
      <c r="D36" s="12" t="str">
        <f>IFERROR(_xlfn.XLOOKUP($B36&amp;D$3,MEJORAS[CÓDIGO 1],MEJORAS[FOLIO],,0),"")</f>
        <v>OM#11\2025</v>
      </c>
      <c r="E36" s="12" t="str">
        <f>IFERROR(_xlfn.XLOOKUP($B36&amp;E$3,MEJORAS[CÓDIGO 1],MEJORAS[FOLIO],,0),"")</f>
        <v>OM#23\2025</v>
      </c>
      <c r="F36" s="5">
        <f ca="1">COUNTIFS(MEJORAS[ÁREA],$B36,MEJORAS[CÓDIGO 10 FUERA DE TIEMPO],0)</f>
        <v>0</v>
      </c>
      <c r="G36" s="5"/>
    </row>
  </sheetData>
  <conditionalFormatting sqref="C4:G36">
    <cfRule type="cellIs" dxfId="195" priority="1"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44CA-F3C0-4EDB-A204-693E8710B1CC}">
  <sheetPr codeName="Hoja4">
    <tabColor rgb="FF00B050"/>
  </sheetPr>
  <dimension ref="A2:N48"/>
  <sheetViews>
    <sheetView showGridLines="0" zoomScale="70" zoomScaleNormal="70" workbookViewId="0">
      <selection activeCell="H8" sqref="H8"/>
    </sheetView>
  </sheetViews>
  <sheetFormatPr defaultColWidth="0" defaultRowHeight="16.5"/>
  <cols>
    <col min="1" max="3" width="10.125" style="6" customWidth="1"/>
    <col min="4" max="4" width="40.5" style="6" customWidth="1"/>
    <col min="5" max="5" width="6.5" style="6" customWidth="1"/>
    <col min="6" max="6" width="19.875" style="107" customWidth="1"/>
    <col min="7" max="7" width="19.875" style="6" hidden="1" customWidth="1"/>
    <col min="8" max="8" width="79.125" style="107" customWidth="1"/>
    <col min="9" max="11" width="21.375" style="106" customWidth="1"/>
    <col min="12" max="12" width="18.75" style="6" customWidth="1"/>
    <col min="13" max="14" width="0" style="6" hidden="1" customWidth="1"/>
    <col min="15" max="16384" width="10.125" style="6" hidden="1"/>
  </cols>
  <sheetData>
    <row r="2" spans="1:13" ht="75" customHeight="1" thickBot="1">
      <c r="F2" s="175" t="s">
        <v>121</v>
      </c>
      <c r="G2" s="175"/>
      <c r="H2" s="175"/>
      <c r="I2" s="175"/>
      <c r="J2" s="175"/>
      <c r="K2" s="175"/>
    </row>
    <row r="3" spans="1:13" ht="59.45" customHeight="1" thickBot="1">
      <c r="D3" s="76" t="s">
        <v>122</v>
      </c>
      <c r="E3" s="97"/>
      <c r="F3" s="25" t="s">
        <v>123</v>
      </c>
      <c r="G3" s="26" t="s">
        <v>124</v>
      </c>
      <c r="H3" s="26" t="s">
        <v>125</v>
      </c>
      <c r="I3" s="27" t="s">
        <v>126</v>
      </c>
      <c r="J3" s="27" t="s">
        <v>127</v>
      </c>
      <c r="K3" s="27" t="s">
        <v>128</v>
      </c>
    </row>
    <row r="4" spans="1:13" ht="86.25" customHeight="1">
      <c r="A4" s="176"/>
      <c r="B4" s="177"/>
      <c r="C4" s="178"/>
      <c r="D4" s="179"/>
      <c r="E4" s="98"/>
      <c r="F4" s="99" cm="1">
        <f t="array" ref="F4:K5">_xlfn._xlws.SORT(_xlfn.VSTACK(_xlfn._xlws.FILTER(ACCIONES[[FOLIO]:[REPLANTEO '#2 "Formato de replanteo"]],(ACCIONES[CÓDIGO 2]=$D$4&amp;"ABIERTA")+(ACCIONES[CÓDIGO 2]=$D$4&amp;"CIERRE"),$F$1:$K$1),_xlfn._xlws.FILTER(MEJORAS[[FOLIO]:[REPLANTEO '#2 "Formato de replanteo"]],(MEJORAS[CÓDIGO 2]=$D$4&amp;"ABIERTA")+(MEJORAS[CÓDIGO 2]=$D$4&amp;"CIERRE"),$F$1:$K$1)),1)</f>
        <v>0</v>
      </c>
      <c r="G4" s="99">
        <v>0</v>
      </c>
      <c r="H4" s="100">
        <v>0</v>
      </c>
      <c r="I4" s="101">
        <v>0</v>
      </c>
      <c r="J4" s="101">
        <v>0</v>
      </c>
      <c r="K4" s="101">
        <v>0</v>
      </c>
      <c r="M4" s="6" t="s">
        <v>103</v>
      </c>
    </row>
    <row r="5" spans="1:13" ht="86.25" customHeight="1" thickBot="1">
      <c r="A5" s="177"/>
      <c r="B5" s="177"/>
      <c r="C5" s="178"/>
      <c r="D5" s="180"/>
      <c r="E5" s="98"/>
      <c r="F5" s="99">
        <v>0</v>
      </c>
      <c r="G5" s="99">
        <v>0</v>
      </c>
      <c r="H5" s="100">
        <v>0</v>
      </c>
      <c r="I5" s="101">
        <v>0</v>
      </c>
      <c r="J5" s="101">
        <v>0</v>
      </c>
      <c r="K5" s="101">
        <v>0</v>
      </c>
      <c r="M5" s="6" t="s">
        <v>103</v>
      </c>
    </row>
    <row r="6" spans="1:13" ht="86.25" customHeight="1">
      <c r="F6" s="99"/>
      <c r="G6" s="99"/>
      <c r="H6" s="100"/>
      <c r="I6" s="101"/>
      <c r="J6" s="101"/>
      <c r="K6" s="101"/>
    </row>
    <row r="7" spans="1:13" ht="86.25" customHeight="1">
      <c r="F7" s="99"/>
      <c r="G7" s="99"/>
      <c r="H7" s="100"/>
      <c r="I7" s="101"/>
      <c r="J7" s="101"/>
      <c r="K7" s="101"/>
    </row>
    <row r="8" spans="1:13" ht="86.25" customHeight="1">
      <c r="F8" s="99"/>
      <c r="G8" s="99"/>
      <c r="H8" s="100"/>
      <c r="I8" s="101"/>
      <c r="J8" s="101"/>
      <c r="K8" s="101"/>
    </row>
    <row r="9" spans="1:13" ht="86.25" customHeight="1">
      <c r="F9" s="99"/>
      <c r="G9" s="99"/>
      <c r="H9" s="100"/>
      <c r="I9" s="101"/>
      <c r="J9" s="101"/>
      <c r="K9" s="101"/>
    </row>
    <row r="10" spans="1:13" ht="86.25" customHeight="1">
      <c r="F10" s="99"/>
      <c r="G10" s="99"/>
      <c r="H10" s="100"/>
      <c r="I10" s="101"/>
      <c r="J10" s="101"/>
      <c r="K10" s="101"/>
    </row>
    <row r="11" spans="1:13" ht="86.25" customHeight="1">
      <c r="F11" s="99"/>
      <c r="G11" s="99"/>
      <c r="H11" s="100"/>
      <c r="I11" s="101"/>
      <c r="J11" s="101"/>
      <c r="K11" s="101"/>
    </row>
    <row r="12" spans="1:13" ht="86.25" customHeight="1">
      <c r="F12" s="99"/>
      <c r="G12" s="99"/>
      <c r="H12" s="100"/>
      <c r="I12" s="101"/>
      <c r="J12" s="101"/>
      <c r="K12" s="101"/>
    </row>
    <row r="13" spans="1:13" ht="86.25" customHeight="1">
      <c r="F13" s="99"/>
      <c r="G13" s="99"/>
      <c r="H13" s="100"/>
      <c r="I13" s="101"/>
      <c r="J13" s="101"/>
      <c r="K13" s="101"/>
    </row>
    <row r="14" spans="1:13" ht="86.25" customHeight="1">
      <c r="F14" s="99"/>
      <c r="G14" s="99"/>
      <c r="H14" s="100"/>
      <c r="I14" s="101"/>
      <c r="J14" s="101"/>
      <c r="K14" s="101"/>
    </row>
    <row r="15" spans="1:13" ht="86.25" customHeight="1">
      <c r="F15" s="99"/>
      <c r="G15" s="99"/>
      <c r="H15" s="100"/>
      <c r="I15" s="101"/>
      <c r="J15" s="101"/>
      <c r="K15" s="101"/>
    </row>
    <row r="16" spans="1:13" ht="86.25" customHeight="1">
      <c r="F16" s="99"/>
      <c r="G16" s="99"/>
      <c r="H16" s="100"/>
      <c r="I16" s="101"/>
      <c r="J16" s="101"/>
      <c r="K16" s="101"/>
    </row>
    <row r="17" spans="6:11" ht="86.25" customHeight="1">
      <c r="F17" s="99"/>
      <c r="G17" s="99"/>
      <c r="H17" s="100"/>
      <c r="I17" s="101"/>
      <c r="J17" s="101"/>
      <c r="K17" s="101"/>
    </row>
    <row r="18" spans="6:11" ht="86.25" customHeight="1">
      <c r="F18" s="99"/>
      <c r="G18" s="99"/>
      <c r="H18" s="100"/>
      <c r="I18" s="101"/>
      <c r="J18" s="101"/>
      <c r="K18" s="101"/>
    </row>
    <row r="19" spans="6:11" ht="86.25" customHeight="1">
      <c r="F19" s="99"/>
      <c r="G19" s="99"/>
      <c r="H19" s="100"/>
      <c r="I19" s="101"/>
      <c r="J19" s="101"/>
      <c r="K19" s="101"/>
    </row>
    <row r="20" spans="6:11" ht="86.25" customHeight="1">
      <c r="F20" s="99"/>
      <c r="G20" s="99"/>
      <c r="H20" s="100"/>
      <c r="I20" s="101"/>
      <c r="J20" s="101"/>
      <c r="K20" s="101"/>
    </row>
    <row r="21" spans="6:11" ht="86.25" customHeight="1">
      <c r="F21" s="99"/>
      <c r="G21" s="99"/>
      <c r="H21" s="100"/>
      <c r="I21" s="101"/>
      <c r="J21" s="101"/>
      <c r="K21" s="101"/>
    </row>
    <row r="22" spans="6:11" ht="86.25" customHeight="1">
      <c r="F22" s="99"/>
      <c r="G22" s="99"/>
      <c r="H22" s="100"/>
      <c r="I22" s="101"/>
      <c r="J22" s="101"/>
      <c r="K22" s="101"/>
    </row>
    <row r="23" spans="6:11" ht="86.25" customHeight="1">
      <c r="F23" s="99"/>
      <c r="G23" s="99"/>
      <c r="H23" s="100"/>
      <c r="I23" s="101"/>
      <c r="J23" s="101"/>
      <c r="K23" s="101"/>
    </row>
    <row r="24" spans="6:11" ht="86.25" customHeight="1">
      <c r="F24" s="99"/>
      <c r="G24" s="99"/>
      <c r="H24" s="100"/>
      <c r="I24" s="101"/>
      <c r="J24" s="101"/>
      <c r="K24" s="101"/>
    </row>
    <row r="25" spans="6:11" ht="86.25" customHeight="1">
      <c r="F25" s="99"/>
      <c r="G25" s="99"/>
      <c r="H25" s="100"/>
      <c r="I25" s="101"/>
      <c r="J25" s="101"/>
      <c r="K25" s="101"/>
    </row>
    <row r="26" spans="6:11" ht="86.25" customHeight="1">
      <c r="F26" s="99"/>
      <c r="G26" s="99"/>
      <c r="H26" s="100"/>
      <c r="I26" s="101"/>
      <c r="J26" s="101"/>
      <c r="K26" s="101"/>
    </row>
    <row r="27" spans="6:11" ht="86.25" customHeight="1">
      <c r="F27" s="99"/>
      <c r="G27" s="99"/>
      <c r="H27" s="100"/>
      <c r="I27" s="101"/>
      <c r="J27" s="101"/>
      <c r="K27" s="101"/>
    </row>
    <row r="28" spans="6:11" ht="86.25" customHeight="1">
      <c r="F28" s="99"/>
      <c r="G28" s="99"/>
      <c r="H28" s="100"/>
      <c r="I28" s="101"/>
      <c r="J28" s="101"/>
      <c r="K28" s="101"/>
    </row>
    <row r="29" spans="6:11" ht="86.25" customHeight="1">
      <c r="F29" s="99"/>
      <c r="G29" s="99"/>
      <c r="H29" s="100"/>
      <c r="I29" s="101"/>
      <c r="J29" s="101"/>
      <c r="K29" s="101"/>
    </row>
    <row r="30" spans="6:11" ht="86.25" customHeight="1">
      <c r="F30" s="99"/>
      <c r="G30" s="99"/>
      <c r="H30" s="100"/>
      <c r="I30" s="101"/>
      <c r="J30" s="101"/>
      <c r="K30" s="101"/>
    </row>
    <row r="31" spans="6:11" ht="86.25" customHeight="1">
      <c r="F31" s="102"/>
      <c r="G31" s="102"/>
      <c r="H31" s="103"/>
      <c r="I31" s="104"/>
      <c r="J31" s="104"/>
      <c r="K31" s="104"/>
    </row>
    <row r="32" spans="6:11" ht="86.25" customHeight="1">
      <c r="F32" s="102"/>
      <c r="G32" s="102"/>
      <c r="H32" s="103"/>
      <c r="I32" s="104"/>
      <c r="J32" s="104"/>
      <c r="K32" s="104"/>
    </row>
    <row r="33" spans="6:11" ht="86.25" customHeight="1">
      <c r="F33" s="102"/>
      <c r="G33" s="102"/>
      <c r="H33" s="103"/>
      <c r="I33" s="104"/>
      <c r="J33" s="104"/>
      <c r="K33" s="104"/>
    </row>
    <row r="34" spans="6:11" ht="86.25" customHeight="1">
      <c r="F34" s="102"/>
      <c r="G34" s="102"/>
      <c r="H34" s="103"/>
      <c r="I34" s="104"/>
      <c r="J34" s="104"/>
      <c r="K34" s="104"/>
    </row>
    <row r="35" spans="6:11" ht="86.25" customHeight="1">
      <c r="F35" s="102"/>
      <c r="G35" s="102"/>
      <c r="H35" s="103"/>
      <c r="I35" s="104"/>
      <c r="J35" s="104"/>
      <c r="K35" s="104"/>
    </row>
    <row r="36" spans="6:11" ht="86.25" customHeight="1">
      <c r="F36" s="102"/>
      <c r="G36" s="102"/>
      <c r="H36" s="103"/>
      <c r="I36" s="104"/>
      <c r="J36" s="104"/>
      <c r="K36" s="104"/>
    </row>
    <row r="37" spans="6:11" ht="99" customHeight="1">
      <c r="F37" s="102"/>
      <c r="G37" s="102"/>
      <c r="H37" s="103"/>
      <c r="I37" s="104"/>
      <c r="J37" s="104"/>
      <c r="K37" s="104"/>
    </row>
    <row r="38" spans="6:11" ht="99" customHeight="1">
      <c r="F38" s="102"/>
      <c r="G38" s="102"/>
      <c r="H38" s="103"/>
      <c r="I38" s="104"/>
      <c r="J38" s="104"/>
      <c r="K38" s="104"/>
    </row>
    <row r="39" spans="6:11" ht="99" customHeight="1">
      <c r="F39" s="102"/>
      <c r="G39" s="102"/>
      <c r="H39" s="103"/>
      <c r="I39" s="104"/>
      <c r="J39" s="104"/>
      <c r="K39" s="104"/>
    </row>
    <row r="40" spans="6:11" ht="99" customHeight="1">
      <c r="F40" s="102"/>
      <c r="G40" s="102"/>
      <c r="H40" s="103"/>
      <c r="I40" s="104"/>
      <c r="J40" s="104"/>
      <c r="K40" s="104"/>
    </row>
    <row r="41" spans="6:11" ht="99" customHeight="1">
      <c r="F41" s="102"/>
      <c r="G41" s="102"/>
      <c r="H41" s="103"/>
      <c r="I41" s="104"/>
      <c r="J41" s="104"/>
      <c r="K41" s="104"/>
    </row>
    <row r="42" spans="6:11" ht="99" customHeight="1">
      <c r="F42" s="102"/>
      <c r="G42" s="102"/>
      <c r="H42" s="105"/>
      <c r="I42" s="104"/>
      <c r="J42" s="104"/>
      <c r="K42" s="104"/>
    </row>
    <row r="43" spans="6:11" ht="99" customHeight="1">
      <c r="F43" s="106"/>
      <c r="G43" s="106"/>
      <c r="H43" s="105"/>
      <c r="I43" s="104"/>
      <c r="J43" s="104"/>
      <c r="K43" s="104"/>
    </row>
    <row r="44" spans="6:11" ht="99" customHeight="1">
      <c r="F44" s="106"/>
      <c r="G44" s="106"/>
      <c r="H44" s="105"/>
      <c r="I44" s="104"/>
      <c r="J44" s="104"/>
      <c r="K44" s="104"/>
    </row>
    <row r="45" spans="6:11" ht="99" customHeight="1">
      <c r="F45" s="106"/>
      <c r="G45" s="106"/>
      <c r="H45" s="105"/>
      <c r="I45" s="104"/>
      <c r="J45" s="104"/>
      <c r="K45" s="104"/>
    </row>
    <row r="46" spans="6:11" ht="79.900000000000006" customHeight="1">
      <c r="H46" s="105"/>
      <c r="I46" s="104"/>
      <c r="J46" s="104"/>
      <c r="K46" s="104"/>
    </row>
    <row r="47" spans="6:11" ht="79.900000000000006" customHeight="1">
      <c r="H47" s="105"/>
      <c r="I47" s="108"/>
      <c r="J47" s="108"/>
      <c r="K47" s="108"/>
    </row>
    <row r="48" spans="6:11" ht="79.900000000000006" customHeight="1">
      <c r="H48" s="105"/>
      <c r="I48" s="108"/>
      <c r="J48" s="108"/>
      <c r="K48" s="108"/>
    </row>
  </sheetData>
  <sheetProtection sheet="1" objects="1" scenarios="1"/>
  <mergeCells count="3">
    <mergeCell ref="F2:K2"/>
    <mergeCell ref="A4:C5"/>
    <mergeCell ref="D4:D5"/>
  </mergeCells>
  <conditionalFormatting sqref="D3">
    <cfRule type="cellIs" dxfId="194" priority="1" operator="equal">
      <formula>"OM#/"</formula>
    </cfRule>
    <cfRule type="containsText" dxfId="193" priority="2" operator="containsText" text="CIERRE">
      <formula>NOT(ISERROR(SEARCH("CIERRE",D3)))</formula>
    </cfRule>
  </conditionalFormatting>
  <conditionalFormatting sqref="F3:G3">
    <cfRule type="cellIs" dxfId="192" priority="12" operator="equal">
      <formula>"OM#/"</formula>
    </cfRule>
  </conditionalFormatting>
  <conditionalFormatting sqref="F3:H3">
    <cfRule type="containsText" dxfId="191" priority="13" operator="containsText" text="CIERRE">
      <formula>NOT(ISERROR(SEARCH("CIERRE",F3)))</formula>
    </cfRule>
  </conditionalFormatting>
  <conditionalFormatting sqref="F4:H44">
    <cfRule type="expression" dxfId="190" priority="6">
      <formula>$M4="CIERRE"</formula>
    </cfRule>
  </conditionalFormatting>
  <conditionalFormatting sqref="F4:H46">
    <cfRule type="cellIs" dxfId="189" priority="3" operator="equal">
      <formula>0</formula>
    </cfRule>
  </conditionalFormatting>
  <conditionalFormatting sqref="I3:K3">
    <cfRule type="cellIs" dxfId="188" priority="14" operator="equal">
      <formula>#REF!</formula>
    </cfRule>
    <cfRule type="cellIs" dxfId="187" priority="15" operator="between">
      <formula>#REF!+1</formula>
      <formula>#REF!+9</formula>
    </cfRule>
  </conditionalFormatting>
  <conditionalFormatting sqref="I4:K45">
    <cfRule type="cellIs" dxfId="186" priority="7" operator="equal">
      <formula>0</formula>
    </cfRule>
    <cfRule type="cellIs" dxfId="185" priority="8" operator="equal">
      <formula>TODAY()</formula>
    </cfRule>
    <cfRule type="cellIs" dxfId="184" priority="9" operator="between">
      <formula>TODAY()+1</formula>
      <formula>TODAY()+9</formula>
    </cfRule>
    <cfRule type="cellIs" dxfId="183" priority="10" operator="greaterThan">
      <formula>TODAY()</formula>
    </cfRule>
    <cfRule type="cellIs" dxfId="182" priority="11" operator="lessThan">
      <formula>TODAY()</formula>
    </cfRule>
  </conditionalFormatting>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C1C5A9BD-7D3F-40E4-B9B7-431A9DFD15A2}">
          <x14:formula1>
            <xm:f>RD!$B$4:$B$36</xm:f>
          </x14:formula1>
          <xm:sqref>D4:D5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3DAE8-4A2C-48D8-89A9-5F186DF884D2}">
  <sheetPr codeName="Hoja1">
    <pageSetUpPr fitToPage="1"/>
  </sheetPr>
  <dimension ref="A1:XEV131"/>
  <sheetViews>
    <sheetView showGridLines="0" showRuler="0" showWhiteSpace="0" zoomScale="70" zoomScaleNormal="70" zoomScaleSheetLayoutView="50" zoomScalePageLayoutView="50" workbookViewId="0">
      <selection activeCell="U6" sqref="U6:Y10"/>
    </sheetView>
  </sheetViews>
  <sheetFormatPr defaultColWidth="0" defaultRowHeight="37.15" customHeight="1"/>
  <cols>
    <col min="1" max="3" width="9.375" customWidth="1"/>
    <col min="4" max="4" width="18.375" customWidth="1"/>
    <col min="5" max="7" width="16.25" customWidth="1"/>
    <col min="8" max="8" width="13.125" customWidth="1"/>
    <col min="9" max="9" width="13.25" bestFit="1" customWidth="1"/>
    <col min="10" max="10" width="14.625" hidden="1" customWidth="1"/>
    <col min="11" max="11" width="14" hidden="1" customWidth="1"/>
    <col min="12" max="12" width="20.25" hidden="1" customWidth="1"/>
    <col min="13" max="13" width="19.5" hidden="1" customWidth="1"/>
    <col min="14" max="14" width="9" hidden="1" customWidth="1"/>
    <col min="15" max="15" width="21.5" hidden="1" customWidth="1"/>
    <col min="16" max="18" width="9.375" hidden="1" customWidth="1"/>
    <col min="19" max="19" width="19" customWidth="1"/>
    <col min="20" max="20" width="56.125" customWidth="1"/>
    <col min="21" max="21" width="18.125" style="51" customWidth="1"/>
    <col min="22" max="22" width="15.5" style="51" customWidth="1"/>
    <col min="23" max="24" width="13.5" style="51" customWidth="1"/>
    <col min="25" max="25" width="34.625" customWidth="1"/>
    <col min="26" max="26" width="9.375" customWidth="1"/>
    <col min="27" max="27" width="22" hidden="1"/>
    <col min="28" max="36" width="9.375" hidden="1"/>
    <col min="37" max="37" width="13.125" hidden="1"/>
    <col min="38" max="40" width="9.375" hidden="1"/>
    <col min="41" max="41" width="17.25" hidden="1"/>
    <col min="42" max="16372" width="9.375" hidden="1"/>
    <col min="16377" max="16384" width="9.375" hidden="1"/>
  </cols>
  <sheetData>
    <row r="1" spans="2:25" ht="37.15" customHeight="1">
      <c r="B1" s="28"/>
      <c r="C1" s="28"/>
      <c r="D1" s="28"/>
      <c r="E1" s="28"/>
      <c r="F1" s="28"/>
      <c r="G1" s="28"/>
      <c r="H1" s="28"/>
      <c r="I1" s="28"/>
    </row>
    <row r="2" spans="2:25" ht="50.45" customHeight="1">
      <c r="B2" s="181" t="s">
        <v>129</v>
      </c>
      <c r="C2" s="181"/>
      <c r="D2" s="181"/>
      <c r="E2" s="181"/>
      <c r="F2" s="181"/>
      <c r="G2" s="181"/>
      <c r="H2" s="181"/>
      <c r="I2" s="181"/>
      <c r="T2" s="56"/>
    </row>
    <row r="3" spans="2:25" ht="37.15" customHeight="1">
      <c r="B3" s="182" t="str">
        <f ca="1">"META" &amp;" " &amp;IF(MONTH(TODAY())=1,YEAR(TODAY())-1,YEAR(TODAY()))</f>
        <v>META 2026</v>
      </c>
      <c r="C3" s="182"/>
      <c r="D3" s="182"/>
      <c r="E3" s="182"/>
      <c r="F3" s="182"/>
      <c r="G3" s="182"/>
      <c r="H3" s="182"/>
      <c r="I3" s="122">
        <v>1</v>
      </c>
      <c r="J3" s="29"/>
      <c r="T3" s="121"/>
    </row>
    <row r="4" spans="2:25" ht="37.15" customHeight="1">
      <c r="B4" s="183" t="str">
        <f ca="1">"RESULTADO AL MES DE "&amp;""&amp;UPPER(TEXT(EDATE(TODAY(),-1),"MMMM"))&amp;" DEL "&amp;IF(MONTH(TODAY())=1,YEAR(TODAY())-1,YEAR(TODAY()))</f>
        <v>RESULTADO AL MES DE MARZO DEL 2026</v>
      </c>
      <c r="C4" s="183"/>
      <c r="D4" s="183"/>
      <c r="E4" s="183"/>
      <c r="F4" s="183"/>
      <c r="G4" s="183"/>
      <c r="H4" s="183"/>
      <c r="I4" s="122">
        <f ca="1">P11</f>
        <v>0.99390243902439024</v>
      </c>
      <c r="J4" s="30"/>
      <c r="U4" s="187" t="s">
        <v>130</v>
      </c>
      <c r="V4" s="187"/>
      <c r="W4" s="187"/>
      <c r="X4" s="187"/>
      <c r="Y4" s="187"/>
    </row>
    <row r="5" spans="2:25" ht="16.149999999999999" customHeight="1">
      <c r="B5" s="112"/>
      <c r="C5" s="112"/>
      <c r="D5" s="112"/>
      <c r="E5" s="112"/>
      <c r="F5" s="112"/>
      <c r="G5" s="112"/>
      <c r="H5" s="112"/>
      <c r="I5" s="74"/>
      <c r="J5" s="31"/>
      <c r="K5" s="32"/>
      <c r="L5" s="31"/>
      <c r="M5" s="31"/>
      <c r="N5" s="31"/>
      <c r="O5" s="31"/>
      <c r="P5" s="31"/>
      <c r="Q5" s="31"/>
      <c r="U5" s="187"/>
      <c r="V5" s="187"/>
      <c r="W5" s="187"/>
      <c r="X5" s="187"/>
      <c r="Y5" s="187"/>
    </row>
    <row r="6" spans="2:25" ht="59.25" customHeight="1" thickBot="1">
      <c r="B6" s="77" t="s">
        <v>131</v>
      </c>
      <c r="C6" s="77"/>
      <c r="D6" s="78"/>
      <c r="E6" s="79" t="s">
        <v>132</v>
      </c>
      <c r="F6" s="80" t="s">
        <v>133</v>
      </c>
      <c r="G6" s="80" t="s">
        <v>134</v>
      </c>
      <c r="H6" s="79" t="s">
        <v>135</v>
      </c>
      <c r="I6" s="111"/>
      <c r="J6" s="33"/>
      <c r="K6" s="34" t="s">
        <v>132</v>
      </c>
      <c r="L6" s="35" t="s">
        <v>133</v>
      </c>
      <c r="M6" s="35" t="s">
        <v>134</v>
      </c>
      <c r="N6" s="36" t="s">
        <v>135</v>
      </c>
      <c r="O6" s="37" t="s">
        <v>136</v>
      </c>
      <c r="P6" t="s">
        <v>137</v>
      </c>
      <c r="U6" s="185" t="s">
        <v>138</v>
      </c>
      <c r="V6" s="186"/>
      <c r="W6" s="186"/>
      <c r="X6" s="186"/>
      <c r="Y6" s="186"/>
    </row>
    <row r="7" spans="2:25" ht="36.950000000000003" customHeight="1">
      <c r="B7" s="81"/>
      <c r="C7" s="81"/>
      <c r="D7" s="82" cm="1">
        <f t="array" ref="D7">_xlfn._xlws.SORT(_xlfn.UNIQUE(_xlfn._xlws.FILTER(MEJORAS[AÑO],(YEAR(MEJORAS[FECHA DE APERTURA]&lt;&gt;0))*(MEJORAS[ESTATUS]="ABIERTA"),1)))</f>
        <v>1</v>
      </c>
      <c r="E7" s="83">
        <f>IF(D7="","",COUNTIFS(MEJORAS[AÑO],D7,MEJORAS[ESTATUS],"&lt;&gt;CERRADA")-F7)</f>
        <v>0</v>
      </c>
      <c r="F7" s="84">
        <f>IF(D7=0,"",COUNTIFS(MEJORAS[AÑO],D7,MEJORAS[CÓDIGO 10 FUERA DE TIEMPO],"0"))</f>
        <v>0</v>
      </c>
      <c r="G7" s="85">
        <f>IF(D7=0,"",COUNTIFS(MEJORAS[AÑO],D7,MEJORAS[ESTATUS],"CERRADA"))</f>
        <v>0</v>
      </c>
      <c r="H7" s="83">
        <f>IF(D7=0,"",SUM(E7:G7))</f>
        <v>0</v>
      </c>
      <c r="I7" s="86"/>
      <c r="J7" s="38"/>
      <c r="K7" s="39">
        <f>E7</f>
        <v>0</v>
      </c>
      <c r="L7" s="40">
        <f>F7</f>
        <v>0</v>
      </c>
      <c r="M7" s="41">
        <f t="shared" ref="M7:M11" si="0">G7</f>
        <v>0</v>
      </c>
      <c r="N7" s="39">
        <f>SUM(K7:M7)</f>
        <v>0</v>
      </c>
      <c r="O7" s="42" t="str">
        <f>IFERROR((M7+K7)/N7,"")</f>
        <v/>
      </c>
      <c r="P7" s="43">
        <f>IFERROR(AVERAGEIF(O7:O11,"&lt;&gt;0"),1)</f>
        <v>1</v>
      </c>
      <c r="U7" s="186"/>
      <c r="V7" s="186"/>
      <c r="W7" s="186"/>
      <c r="X7" s="186"/>
      <c r="Y7" s="186"/>
    </row>
    <row r="8" spans="2:25" ht="36.950000000000003" customHeight="1">
      <c r="B8" s="81"/>
      <c r="C8" s="81"/>
      <c r="D8" s="82"/>
      <c r="E8" s="83" t="str">
        <f>IF(D8="","",COUNTIFS(MEJORAS[AÑO],D8,MEJORAS[ESTATUS],"&lt;&gt;CERRADA")-F8)</f>
        <v/>
      </c>
      <c r="F8" s="84" t="str">
        <f>IF(D8=0,"",COUNTIFS(MEJORAS[AÑO],D8,MEJORAS[CÓDIGO 10 FUERA DE TIEMPO],"0"))</f>
        <v/>
      </c>
      <c r="G8" s="85" t="str">
        <f>IF(D8=0,"",COUNTIFS(MEJORAS[AÑO],D8,MEJORAS[ESTATUS],"CERRADA"))</f>
        <v/>
      </c>
      <c r="H8" s="83" t="str">
        <f>IF(D8=0,"",SUM(E8:G8))</f>
        <v/>
      </c>
      <c r="I8" s="86"/>
      <c r="J8" s="38"/>
      <c r="K8" s="39" t="str">
        <f t="shared" ref="K8:L11" si="1">E8</f>
        <v/>
      </c>
      <c r="L8" s="40" t="str">
        <f t="shared" si="1"/>
        <v/>
      </c>
      <c r="M8" s="41" t="str">
        <f t="shared" si="0"/>
        <v/>
      </c>
      <c r="N8" s="39">
        <f>SUM(K8:M8)</f>
        <v>0</v>
      </c>
      <c r="O8" s="42" t="str">
        <f t="shared" ref="O8:O11" si="2">IFERROR((M8+K8)/N8,"")</f>
        <v/>
      </c>
      <c r="U8" s="186"/>
      <c r="V8" s="186"/>
      <c r="W8" s="186"/>
      <c r="X8" s="186"/>
      <c r="Y8" s="186"/>
    </row>
    <row r="9" spans="2:25" ht="36.950000000000003" customHeight="1">
      <c r="B9" s="81"/>
      <c r="C9" s="81"/>
      <c r="D9" s="82"/>
      <c r="E9" s="83" t="str">
        <f>IF(D9="","",COUNTIFS(MEJORAS[AÑO],D9,MEJORAS[ESTATUS],"&lt;&gt;CERRADA")-F9)</f>
        <v/>
      </c>
      <c r="F9" s="84" t="str">
        <f>IF(D9=0,"",COUNTIFS(MEJORAS[AÑO],D9,MEJORAS[CÓDIGO 10 FUERA DE TIEMPO],"0"))</f>
        <v/>
      </c>
      <c r="G9" s="85" t="str">
        <f>IF(D9=0,"",COUNTIFS(MEJORAS[AÑO],D9,MEJORAS[ESTATUS],"CERRADA"))</f>
        <v/>
      </c>
      <c r="H9" s="83" t="str">
        <f>IF(D9=0,"",SUM(E9:G9))</f>
        <v/>
      </c>
      <c r="I9" s="86"/>
      <c r="J9" s="38"/>
      <c r="K9" s="39" t="str">
        <f t="shared" si="1"/>
        <v/>
      </c>
      <c r="L9" s="40" t="str">
        <f t="shared" si="1"/>
        <v/>
      </c>
      <c r="M9" s="41" t="str">
        <f t="shared" si="0"/>
        <v/>
      </c>
      <c r="N9" s="39">
        <f>SUM(K9:M9)</f>
        <v>0</v>
      </c>
      <c r="O9" s="42" t="str">
        <f t="shared" si="2"/>
        <v/>
      </c>
      <c r="P9" s="44"/>
      <c r="U9" s="186"/>
      <c r="V9" s="186"/>
      <c r="W9" s="186"/>
      <c r="X9" s="186"/>
      <c r="Y9" s="186"/>
    </row>
    <row r="10" spans="2:25" ht="36.950000000000003" customHeight="1">
      <c r="B10" s="81"/>
      <c r="C10" s="81"/>
      <c r="D10" s="82"/>
      <c r="E10" s="83" t="str">
        <f>IF(D10="","",COUNTIFS(MEJORAS[AÑO],D10,MEJORAS[ESTATUS],"&lt;&gt;CERRADA")-F10)</f>
        <v/>
      </c>
      <c r="F10" s="84" t="str">
        <f>IF(D10=0,"",COUNTIFS(MEJORAS[AÑO],D10,MEJORAS[CÓDIGO 10 FUERA DE TIEMPO],"0"))</f>
        <v/>
      </c>
      <c r="G10" s="85" t="str">
        <f>IF(D10=0,"",COUNTIFS(MEJORAS[AÑO],D10,MEJORAS[ESTATUS],"CERRADA"))</f>
        <v/>
      </c>
      <c r="H10" s="83" t="str">
        <f>IF(D10=0,"",SUM(E10:G10))</f>
        <v/>
      </c>
      <c r="I10" s="86"/>
      <c r="J10" s="38"/>
      <c r="K10" s="39" t="str">
        <f t="shared" si="1"/>
        <v/>
      </c>
      <c r="L10" s="40" t="str">
        <f t="shared" si="1"/>
        <v/>
      </c>
      <c r="M10" s="41" t="str">
        <f t="shared" si="0"/>
        <v/>
      </c>
      <c r="N10" s="39">
        <f>SUM(K10:M10)</f>
        <v>0</v>
      </c>
      <c r="O10" s="42" t="str">
        <f t="shared" si="2"/>
        <v/>
      </c>
      <c r="P10" t="s">
        <v>139</v>
      </c>
      <c r="U10" s="186"/>
      <c r="V10" s="186"/>
      <c r="W10" s="186"/>
      <c r="X10" s="186"/>
      <c r="Y10" s="186"/>
    </row>
    <row r="11" spans="2:25" ht="20.25" customHeight="1">
      <c r="B11" s="87"/>
      <c r="C11" s="87"/>
      <c r="D11" s="87"/>
      <c r="E11" s="87"/>
      <c r="F11" s="87"/>
      <c r="G11" s="87"/>
      <c r="H11" s="87"/>
      <c r="I11" s="87"/>
      <c r="J11" s="38"/>
      <c r="K11" s="39">
        <f t="shared" si="1"/>
        <v>0</v>
      </c>
      <c r="L11" s="40">
        <f t="shared" si="1"/>
        <v>0</v>
      </c>
      <c r="M11" s="41">
        <f t="shared" si="0"/>
        <v>0</v>
      </c>
      <c r="N11" s="39">
        <f t="shared" ref="N11" si="3">SUM(K11:M11)</f>
        <v>0</v>
      </c>
      <c r="O11" s="42" t="str">
        <f t="shared" si="2"/>
        <v/>
      </c>
      <c r="P11" s="43">
        <f ca="1">IFERROR(AVERAGE(P7,P14),"")</f>
        <v>0.99390243902439024</v>
      </c>
      <c r="R11" s="22"/>
    </row>
    <row r="12" spans="2:25" ht="16.149999999999999" customHeight="1">
      <c r="B12" s="81"/>
      <c r="C12" s="81"/>
      <c r="D12" s="83"/>
      <c r="E12" s="83"/>
      <c r="F12" s="83"/>
      <c r="G12" s="83"/>
      <c r="H12" s="83"/>
      <c r="I12" s="88"/>
      <c r="J12" s="38"/>
      <c r="K12" s="39"/>
      <c r="L12" s="40"/>
      <c r="M12" s="45"/>
      <c r="N12" s="39"/>
      <c r="O12" s="42"/>
      <c r="R12" s="22"/>
    </row>
    <row r="13" spans="2:25" ht="59.25" customHeight="1" thickBot="1">
      <c r="B13" s="89" t="s">
        <v>140</v>
      </c>
      <c r="C13" s="89"/>
      <c r="D13" s="78"/>
      <c r="E13" s="79" t="s">
        <v>132</v>
      </c>
      <c r="F13" s="80" t="s">
        <v>133</v>
      </c>
      <c r="G13" s="80" t="s">
        <v>134</v>
      </c>
      <c r="H13" s="79" t="s">
        <v>135</v>
      </c>
      <c r="I13" s="111"/>
      <c r="K13" s="46" t="s">
        <v>132</v>
      </c>
      <c r="L13" s="35" t="s">
        <v>133</v>
      </c>
      <c r="M13" s="35" t="s">
        <v>134</v>
      </c>
      <c r="N13" s="36" t="s">
        <v>135</v>
      </c>
      <c r="O13" s="37" t="s">
        <v>136</v>
      </c>
      <c r="P13" t="s">
        <v>141</v>
      </c>
      <c r="R13" s="22"/>
    </row>
    <row r="14" spans="2:25" ht="36.950000000000003" customHeight="1">
      <c r="B14" s="81"/>
      <c r="C14" s="81"/>
      <c r="D14" s="82" cm="1">
        <f t="array" ref="D14:D15">_xlfn._xlws.SORT(_xlfn.UNIQUE(_xlfn._xlws.FILTER(ACCIONES[año],(YEAR(ACCIONES[FECHA DE APERTURA]&lt;&gt;0))*(ACCIONES[ESTATUS]="ABIERTA"),1)))</f>
        <v>2025</v>
      </c>
      <c r="E14" s="83">
        <f ca="1">IF(D14="","",COUNTIFS(ACCIONES[año],D14,ACCIONES[ESTATUS],"&lt;&gt;CERRADA")-F14)</f>
        <v>8</v>
      </c>
      <c r="F14" s="84">
        <f ca="1">IF(D14=0,"",COUNTIFS(ACCIONES[año],D14,ACCIONES[CÓDIGO 10 FUERA DE TIEMPO],"0"))</f>
        <v>2</v>
      </c>
      <c r="G14" s="85">
        <v>72</v>
      </c>
      <c r="H14" s="83">
        <f ca="1">IF(D14=0,"",SUM(E14:G14))</f>
        <v>82</v>
      </c>
      <c r="I14" s="86"/>
      <c r="K14" s="47">
        <f ca="1">E14</f>
        <v>8</v>
      </c>
      <c r="L14" s="48">
        <f ca="1">F14</f>
        <v>2</v>
      </c>
      <c r="M14" s="49">
        <f>G14</f>
        <v>72</v>
      </c>
      <c r="N14" s="39">
        <f ca="1">SUM(K14:M14)</f>
        <v>82</v>
      </c>
      <c r="O14" s="42">
        <f ca="1">IFERROR((M14+K14)/N14,"")</f>
        <v>0.97560975609756095</v>
      </c>
      <c r="P14" s="43">
        <f ca="1">AVERAGEIF(O14:O17,"&lt;&gt;0")</f>
        <v>0.98780487804878048</v>
      </c>
      <c r="R14" s="22"/>
    </row>
    <row r="15" spans="2:25" ht="36.950000000000003" customHeight="1">
      <c r="B15" s="90"/>
      <c r="C15" s="90"/>
      <c r="D15" s="82">
        <v>2026</v>
      </c>
      <c r="E15" s="83">
        <f ca="1">IF(D15="","",COUNTIFS(ACCIONES[año],D15,ACCIONES[ESTATUS],"&lt;&gt;CERRADA")-F15)</f>
        <v>12</v>
      </c>
      <c r="F15" s="84">
        <f ca="1">IF(D15=0,"",COUNTIFS(ACCIONES[año],D15,ACCIONES[CÓDIGO 10 FUERA DE TIEMPO],"0"))</f>
        <v>0</v>
      </c>
      <c r="G15" s="85">
        <f>IF(D15=0,"",COUNTIFS(ACCIONES[año],D15,ACCIONES[ESTATUS],"CERRADA"))</f>
        <v>5</v>
      </c>
      <c r="H15" s="83">
        <f ca="1">IF(D15=0,"",SUM(E15:G15))</f>
        <v>17</v>
      </c>
      <c r="I15" s="86"/>
      <c r="K15" s="47">
        <f t="shared" ref="K15:M17" ca="1" si="4">E15</f>
        <v>12</v>
      </c>
      <c r="L15" s="48">
        <f t="shared" ca="1" si="4"/>
        <v>0</v>
      </c>
      <c r="M15" s="49">
        <f t="shared" si="4"/>
        <v>5</v>
      </c>
      <c r="N15" s="39">
        <f t="shared" ref="N15:N17" ca="1" si="5">SUM(K15:M15)</f>
        <v>17</v>
      </c>
      <c r="O15" s="42">
        <f ca="1">IFERROR((M15+K15)/N15,"")</f>
        <v>1</v>
      </c>
      <c r="R15" s="22"/>
    </row>
    <row r="16" spans="2:25" ht="36.950000000000003" customHeight="1">
      <c r="B16" s="81"/>
      <c r="C16" s="81"/>
      <c r="D16" s="91"/>
      <c r="E16" s="83" t="str">
        <f>IF(D16="","",COUNTIFS(ACCIONES[año],D16,ACCIONES[ESTATUS],"&lt;&gt;CERRADA")-F16)</f>
        <v/>
      </c>
      <c r="F16" s="84" t="str">
        <f>IF(D16=0,"",COUNTIFS(ACCIONES[año],D16,ACCIONES[CÓDIGO 10 FUERA DE TIEMPO],"0"))</f>
        <v/>
      </c>
      <c r="G16" s="85" t="str">
        <f>IF(D16=0,"",COUNTIFS(ACCIONES[año],D16,ACCIONES[ESTATUS],"CERRADA"))</f>
        <v/>
      </c>
      <c r="H16" s="83" t="str">
        <f t="shared" ref="H16:H17" si="6">IF(D16=0,"",SUM(E16:G16))</f>
        <v/>
      </c>
      <c r="I16" s="86"/>
      <c r="K16" s="47" t="str">
        <f t="shared" si="4"/>
        <v/>
      </c>
      <c r="L16" s="48" t="str">
        <f t="shared" si="4"/>
        <v/>
      </c>
      <c r="M16" s="49" t="str">
        <f t="shared" si="4"/>
        <v/>
      </c>
      <c r="N16" s="39">
        <f>SUM(K16:M16)</f>
        <v>0</v>
      </c>
      <c r="O16" s="42" t="str">
        <f t="shared" ref="O16:O17" si="7">IFERROR((M16+K16)/N16,"")</f>
        <v/>
      </c>
      <c r="R16" s="22"/>
    </row>
    <row r="17" spans="2:40" ht="36.950000000000003" customHeight="1">
      <c r="B17" s="81"/>
      <c r="C17" s="81"/>
      <c r="D17" s="91"/>
      <c r="E17" s="83" t="str">
        <f>IF(D17="","",COUNTIFS(ACCIONES[año],D17,ACCIONES[ESTATUS],"&lt;&gt;CERRADA")-F17)</f>
        <v/>
      </c>
      <c r="F17" s="84" t="str">
        <f>IF(D17=0,"",COUNTIFS(ACCIONES[año],D17,ACCIONES[CÓDIGO 10 FUERA DE TIEMPO],"0"))</f>
        <v/>
      </c>
      <c r="G17" s="85" t="str">
        <f>IF(D17=0,"",COUNTIFS(ACCIONES[año],D17,ACCIONES[ESTATUS],"CERRADA"))</f>
        <v/>
      </c>
      <c r="H17" s="83" t="str">
        <f t="shared" si="6"/>
        <v/>
      </c>
      <c r="I17" s="92"/>
      <c r="K17" s="47" t="str">
        <f t="shared" si="4"/>
        <v/>
      </c>
      <c r="L17" s="48" t="str">
        <f t="shared" si="4"/>
        <v/>
      </c>
      <c r="M17" s="49" t="str">
        <f t="shared" si="4"/>
        <v/>
      </c>
      <c r="N17" s="39">
        <f t="shared" si="5"/>
        <v>0</v>
      </c>
      <c r="O17" s="42" t="str">
        <f t="shared" si="7"/>
        <v/>
      </c>
      <c r="R17" s="22"/>
      <c r="S17" s="22"/>
      <c r="T17" s="23"/>
      <c r="U17" s="24"/>
      <c r="V17" s="24"/>
      <c r="W17" s="24"/>
      <c r="X17" s="24"/>
    </row>
    <row r="18" spans="2:40" ht="25.5" customHeight="1">
      <c r="B18" s="75"/>
      <c r="C18" s="75"/>
      <c r="D18" s="75"/>
      <c r="E18" s="75"/>
      <c r="F18" s="75"/>
      <c r="G18" s="75"/>
      <c r="H18" s="75"/>
      <c r="I18" s="75"/>
      <c r="J18" s="31"/>
      <c r="K18" s="31"/>
      <c r="L18" s="31"/>
      <c r="M18" s="31"/>
      <c r="N18" s="31"/>
      <c r="O18" s="31"/>
      <c r="P18" s="31"/>
      <c r="Q18" s="31"/>
      <c r="R18" s="22"/>
      <c r="S18" s="22"/>
      <c r="T18" s="23"/>
      <c r="U18" s="24"/>
      <c r="V18" s="24"/>
      <c r="W18" s="24"/>
      <c r="X18" s="24"/>
    </row>
    <row r="19" spans="2:40" ht="30" customHeight="1">
      <c r="B19" s="184" t="str" cm="1">
        <f t="array" aca="1" ref="B19" ca="1">"Se cumplió con el indicador al presentar el estado de acciones al 10"&amp;" de "&amp;UPPER(TEXT(EDATE(TODAY(),0),"MMMM"))&amp;" del "&amp;YEAR(TODAY())&amp;" donde se muestran las acciones que siguen abiertas; tanto en tiempo, como fuera de tiempo de los años "&amp;MIN(_xlfn._xlws.SORT(_xlfn.UNIQUE(_xlfn._xlws.FILTER(ACCIONES[año],(ACCIONES[año]&lt;&gt;0)*(ACCIONES[ESTATUS]="ABIERTA"),1))))&amp;" al "&amp;YEAR(TODAY())&amp;"."</f>
        <v>Se cumplió con el indicador al presentar el estado de acciones al 10 de ABRIL del 2026 donde se muestran las acciones que siguen abiertas; tanto en tiempo, como fuera de tiempo de los años 2025 al 2026.</v>
      </c>
      <c r="C19" s="184"/>
      <c r="D19" s="184"/>
      <c r="E19" s="184"/>
      <c r="F19" s="184"/>
      <c r="G19" s="184"/>
      <c r="H19" s="184"/>
      <c r="I19" s="184"/>
      <c r="M19" s="50"/>
      <c r="R19" s="22"/>
      <c r="S19" s="22"/>
      <c r="T19" s="23"/>
      <c r="U19" s="24"/>
      <c r="V19" s="24"/>
      <c r="W19" s="24"/>
      <c r="X19" s="24"/>
      <c r="AI19" s="56"/>
      <c r="AN19" s="56"/>
    </row>
    <row r="20" spans="2:40" ht="30" customHeight="1">
      <c r="B20" s="184"/>
      <c r="C20" s="184"/>
      <c r="D20" s="184"/>
      <c r="E20" s="184"/>
      <c r="F20" s="184"/>
      <c r="G20" s="184"/>
      <c r="H20" s="184"/>
      <c r="I20" s="184"/>
      <c r="R20" s="22"/>
      <c r="S20" s="22"/>
      <c r="T20" s="23"/>
      <c r="U20" s="24"/>
      <c r="V20" s="24"/>
      <c r="W20" s="24"/>
      <c r="X20" s="24"/>
    </row>
    <row r="21" spans="2:40" ht="30" customHeight="1">
      <c r="B21" s="184"/>
      <c r="C21" s="184"/>
      <c r="D21" s="184"/>
      <c r="E21" s="184"/>
      <c r="F21" s="184"/>
      <c r="G21" s="184"/>
      <c r="H21" s="184"/>
      <c r="I21" s="184"/>
      <c r="R21" s="22"/>
      <c r="S21" s="22"/>
      <c r="T21" s="23"/>
      <c r="U21" s="24"/>
      <c r="V21" s="24"/>
      <c r="W21" s="24"/>
      <c r="X21" s="24"/>
    </row>
    <row r="22" spans="2:40" ht="37.15" customHeight="1">
      <c r="R22" s="22"/>
      <c r="S22" s="22"/>
      <c r="T22" s="23"/>
      <c r="U22" s="24"/>
      <c r="V22" s="24"/>
      <c r="W22" s="24"/>
      <c r="X22" s="24"/>
    </row>
    <row r="23" spans="2:40" ht="37.15" customHeight="1">
      <c r="R23" s="22"/>
      <c r="S23" s="22"/>
      <c r="T23" s="23"/>
      <c r="U23" s="24"/>
      <c r="V23" s="24"/>
      <c r="W23" s="24"/>
      <c r="X23" s="24"/>
    </row>
    <row r="24" spans="2:40" ht="37.15" customHeight="1">
      <c r="R24" s="22"/>
      <c r="S24" s="22"/>
      <c r="T24" s="23"/>
      <c r="U24" s="24"/>
      <c r="V24" s="24"/>
      <c r="W24" s="24"/>
      <c r="X24" s="24"/>
      <c r="AI24" s="56"/>
    </row>
    <row r="25" spans="2:40" ht="37.15" customHeight="1">
      <c r="R25" s="22"/>
      <c r="S25" s="22"/>
      <c r="T25" s="23"/>
      <c r="U25" s="24"/>
      <c r="V25" s="24"/>
      <c r="W25" s="24"/>
      <c r="X25" s="24"/>
    </row>
    <row r="26" spans="2:40" ht="47.45" customHeight="1">
      <c r="R26" s="22"/>
      <c r="Z26" s="52"/>
      <c r="AC26" t="s">
        <v>103</v>
      </c>
    </row>
    <row r="27" spans="2:40" ht="57" customHeight="1">
      <c r="R27" s="22"/>
      <c r="U27"/>
      <c r="V27"/>
      <c r="W27"/>
      <c r="X27"/>
    </row>
    <row r="28" spans="2:40" ht="65.45" customHeight="1">
      <c r="R28" s="22"/>
      <c r="U28"/>
      <c r="V28"/>
      <c r="W28"/>
      <c r="X28"/>
    </row>
    <row r="29" spans="2:40" ht="72" customHeight="1">
      <c r="B29" s="53"/>
      <c r="R29" s="22"/>
      <c r="U29"/>
      <c r="V29"/>
      <c r="W29"/>
      <c r="X29"/>
    </row>
    <row r="30" spans="2:40" ht="72" customHeight="1">
      <c r="R30" s="22"/>
      <c r="U30"/>
      <c r="V30"/>
      <c r="W30"/>
      <c r="X30"/>
    </row>
    <row r="31" spans="2:40" ht="72" customHeight="1">
      <c r="R31" s="22"/>
      <c r="U31"/>
      <c r="V31"/>
      <c r="W31"/>
      <c r="X31"/>
    </row>
    <row r="32" spans="2:40" ht="72" customHeight="1">
      <c r="R32" s="22"/>
      <c r="U32"/>
      <c r="V32"/>
      <c r="W32"/>
      <c r="X32"/>
    </row>
    <row r="33" spans="18:25" ht="72" customHeight="1">
      <c r="R33" s="22"/>
      <c r="U33"/>
      <c r="V33"/>
      <c r="W33"/>
      <c r="X33"/>
    </row>
    <row r="34" spans="18:25" ht="72" customHeight="1">
      <c r="R34" s="22"/>
      <c r="U34"/>
      <c r="V34"/>
      <c r="W34"/>
      <c r="X34"/>
    </row>
    <row r="35" spans="18:25" ht="72" customHeight="1">
      <c r="R35" s="22"/>
      <c r="U35"/>
      <c r="V35"/>
      <c r="W35"/>
      <c r="X35"/>
    </row>
    <row r="36" spans="18:25" ht="72" customHeight="1">
      <c r="R36" s="22"/>
      <c r="S36" s="22"/>
      <c r="T36" s="23"/>
      <c r="U36" s="24"/>
      <c r="V36" s="24"/>
      <c r="W36" s="24"/>
      <c r="X36" s="24"/>
      <c r="Y36" s="54"/>
    </row>
    <row r="37" spans="18:25" ht="72" customHeight="1">
      <c r="R37" s="22"/>
      <c r="S37" s="22"/>
      <c r="T37" s="23"/>
      <c r="U37" s="24"/>
      <c r="V37" s="24"/>
      <c r="W37" s="24"/>
      <c r="X37" s="24"/>
      <c r="Y37" s="54"/>
    </row>
    <row r="38" spans="18:25" ht="72" customHeight="1">
      <c r="R38" s="22"/>
      <c r="S38" s="22"/>
      <c r="T38" s="23"/>
      <c r="U38" s="24"/>
      <c r="V38" s="24"/>
      <c r="W38" s="24"/>
      <c r="X38" s="24"/>
      <c r="Y38" s="54"/>
    </row>
    <row r="39" spans="18:25" ht="72" customHeight="1">
      <c r="R39" s="22"/>
      <c r="S39" s="22"/>
      <c r="T39" s="23"/>
      <c r="U39" s="24"/>
      <c r="V39" s="24"/>
      <c r="W39" s="24"/>
      <c r="X39" s="24"/>
      <c r="Y39" s="55"/>
    </row>
    <row r="40" spans="18:25" ht="72" customHeight="1">
      <c r="R40" s="22"/>
      <c r="S40" s="22"/>
      <c r="T40" s="23"/>
      <c r="U40" s="24"/>
      <c r="V40" s="24"/>
      <c r="W40" s="24"/>
      <c r="X40" s="24"/>
      <c r="Y40" s="55"/>
    </row>
    <row r="41" spans="18:25" ht="72" customHeight="1">
      <c r="R41" s="22"/>
      <c r="S41" s="22"/>
      <c r="T41" s="23"/>
      <c r="U41" s="24"/>
      <c r="V41" s="24"/>
      <c r="W41" s="24"/>
      <c r="X41" s="24"/>
      <c r="Y41" s="55"/>
    </row>
    <row r="42" spans="18:25" ht="72" customHeight="1">
      <c r="R42" s="22"/>
      <c r="S42" s="22"/>
      <c r="T42" s="23"/>
      <c r="U42" s="24"/>
      <c r="V42" s="24"/>
      <c r="W42" s="24"/>
      <c r="X42" s="24"/>
      <c r="Y42" s="55"/>
    </row>
    <row r="43" spans="18:25" ht="72" customHeight="1">
      <c r="R43" s="22"/>
      <c r="S43" s="22"/>
      <c r="T43" s="23"/>
      <c r="U43" s="24"/>
      <c r="V43" s="24"/>
      <c r="W43" s="24"/>
      <c r="X43" s="24"/>
      <c r="Y43" s="55"/>
    </row>
    <row r="44" spans="18:25" ht="72" customHeight="1">
      <c r="R44" s="22"/>
      <c r="S44" s="22"/>
      <c r="T44" s="23"/>
      <c r="U44" s="24"/>
      <c r="V44" s="24"/>
      <c r="W44" s="24"/>
      <c r="X44" s="24"/>
      <c r="Y44" s="55"/>
    </row>
    <row r="45" spans="18:25" ht="72" customHeight="1">
      <c r="R45" s="22"/>
      <c r="S45" s="22"/>
      <c r="T45" s="23"/>
      <c r="U45" s="24"/>
      <c r="V45" s="24"/>
      <c r="W45" s="24"/>
      <c r="X45" s="24"/>
      <c r="Y45" s="55"/>
    </row>
    <row r="46" spans="18:25" ht="72" customHeight="1">
      <c r="R46" s="22"/>
      <c r="S46" s="22"/>
      <c r="T46" s="23"/>
      <c r="U46" s="24"/>
      <c r="V46" s="24"/>
      <c r="W46" s="24"/>
      <c r="X46" s="24"/>
      <c r="Y46" s="55"/>
    </row>
    <row r="47" spans="18:25" ht="72" customHeight="1">
      <c r="R47" s="22"/>
      <c r="S47" s="22"/>
      <c r="T47" s="23"/>
      <c r="U47" s="24"/>
      <c r="V47" s="24"/>
      <c r="W47" s="24"/>
      <c r="X47" s="24"/>
      <c r="Y47" s="55"/>
    </row>
    <row r="48" spans="18:25" ht="72" customHeight="1">
      <c r="R48" s="22"/>
      <c r="S48" s="22"/>
      <c r="T48" s="23"/>
      <c r="U48" s="24"/>
      <c r="V48" s="24"/>
      <c r="W48" s="24"/>
      <c r="X48" s="24"/>
      <c r="Y48" s="55"/>
    </row>
    <row r="49" spans="18:25" ht="72" customHeight="1">
      <c r="R49" s="22"/>
      <c r="S49" s="22"/>
      <c r="T49" s="23"/>
      <c r="U49" s="24"/>
      <c r="V49" s="24"/>
      <c r="W49" s="24"/>
      <c r="X49" s="24"/>
      <c r="Y49" s="55"/>
    </row>
    <row r="50" spans="18:25" ht="72" customHeight="1">
      <c r="R50" s="22"/>
      <c r="S50" s="22"/>
      <c r="T50" s="23"/>
      <c r="U50" s="24"/>
      <c r="V50" s="24"/>
      <c r="W50" s="24"/>
      <c r="X50" s="24"/>
      <c r="Y50" s="55"/>
    </row>
    <row r="51" spans="18:25" ht="72" customHeight="1">
      <c r="R51" s="22"/>
      <c r="S51" s="22"/>
      <c r="T51" s="23"/>
      <c r="U51" s="24"/>
      <c r="V51" s="24"/>
      <c r="W51" s="24"/>
      <c r="X51" s="24"/>
      <c r="Y51" s="55"/>
    </row>
    <row r="52" spans="18:25" ht="72" customHeight="1">
      <c r="R52" s="22"/>
      <c r="S52" s="22"/>
      <c r="T52" s="23"/>
      <c r="U52" s="24"/>
      <c r="V52" s="24"/>
      <c r="W52" s="24"/>
      <c r="X52" s="24"/>
      <c r="Y52" s="55"/>
    </row>
    <row r="53" spans="18:25" ht="37.15" customHeight="1">
      <c r="R53" s="22"/>
      <c r="S53" s="22"/>
      <c r="T53" s="23"/>
      <c r="U53" s="24"/>
      <c r="V53" s="24"/>
      <c r="W53" s="24"/>
      <c r="X53" s="24"/>
      <c r="Y53" s="55"/>
    </row>
    <row r="54" spans="18:25" ht="37.15" customHeight="1">
      <c r="R54" s="22"/>
      <c r="S54" s="22"/>
      <c r="T54" s="23"/>
      <c r="U54" s="24"/>
      <c r="V54" s="24"/>
      <c r="W54" s="24"/>
      <c r="X54" s="24"/>
      <c r="Y54" s="55"/>
    </row>
    <row r="55" spans="18:25" ht="37.15" customHeight="1">
      <c r="R55" s="22"/>
      <c r="S55" s="22"/>
      <c r="T55" s="23"/>
      <c r="U55" s="24"/>
      <c r="V55" s="24"/>
      <c r="W55" s="24"/>
      <c r="X55" s="24"/>
      <c r="Y55" s="55"/>
    </row>
    <row r="56" spans="18:25" ht="37.15" customHeight="1">
      <c r="R56" s="22"/>
      <c r="S56" s="22"/>
      <c r="T56" s="23"/>
      <c r="U56" s="24"/>
      <c r="V56" s="24"/>
      <c r="W56" s="24"/>
      <c r="X56" s="24"/>
      <c r="Y56" s="55"/>
    </row>
    <row r="57" spans="18:25" ht="37.15" customHeight="1">
      <c r="R57" s="22"/>
      <c r="S57" s="22"/>
      <c r="T57" s="23"/>
      <c r="U57" s="24"/>
      <c r="V57" s="24"/>
      <c r="W57" s="24"/>
      <c r="X57" s="24"/>
      <c r="Y57" s="55"/>
    </row>
    <row r="58" spans="18:25" ht="37.15" customHeight="1">
      <c r="R58" s="22"/>
      <c r="S58" s="22"/>
      <c r="T58" s="23"/>
      <c r="U58" s="24"/>
      <c r="V58" s="24"/>
      <c r="W58" s="24"/>
      <c r="X58" s="24"/>
      <c r="Y58" s="55"/>
    </row>
    <row r="59" spans="18:25" ht="37.15" customHeight="1">
      <c r="R59" s="22"/>
      <c r="S59" s="22"/>
      <c r="T59" s="23"/>
      <c r="U59" s="24"/>
      <c r="V59" s="24"/>
      <c r="W59" s="24"/>
      <c r="X59" s="24"/>
      <c r="Y59" s="55"/>
    </row>
    <row r="60" spans="18:25" ht="37.15" customHeight="1">
      <c r="R60" s="22"/>
      <c r="S60" s="22"/>
      <c r="T60" s="23"/>
      <c r="U60" s="24"/>
      <c r="V60" s="24"/>
      <c r="W60" s="24"/>
      <c r="X60" s="24"/>
      <c r="Y60" s="55"/>
    </row>
    <row r="61" spans="18:25" ht="37.15" customHeight="1">
      <c r="R61" s="22"/>
      <c r="S61" s="22"/>
      <c r="T61" s="23"/>
      <c r="U61" s="24"/>
      <c r="V61" s="24"/>
      <c r="W61" s="24"/>
      <c r="X61" s="24"/>
      <c r="Y61" s="55"/>
    </row>
    <row r="62" spans="18:25" ht="37.15" customHeight="1">
      <c r="R62" s="22"/>
      <c r="S62" s="22"/>
      <c r="T62" s="23"/>
      <c r="U62" s="24"/>
      <c r="V62" s="24"/>
      <c r="W62" s="24"/>
      <c r="X62" s="24"/>
      <c r="Y62" s="55"/>
    </row>
    <row r="63" spans="18:25" ht="37.15" customHeight="1">
      <c r="R63" s="22"/>
      <c r="S63" s="22"/>
      <c r="T63" s="23"/>
      <c r="U63" s="24"/>
      <c r="V63" s="24"/>
      <c r="W63" s="24"/>
      <c r="X63" s="24"/>
      <c r="Y63" s="55"/>
    </row>
    <row r="64" spans="18:25" ht="37.15" customHeight="1">
      <c r="S64" s="22"/>
      <c r="T64" s="23"/>
      <c r="U64" s="24"/>
      <c r="V64" s="24"/>
      <c r="W64" s="24"/>
      <c r="X64" s="24"/>
      <c r="Y64" s="55"/>
    </row>
    <row r="65" spans="19:25" ht="37.15" customHeight="1">
      <c r="S65" s="22"/>
      <c r="T65" s="23"/>
      <c r="U65" s="24"/>
      <c r="V65" s="24"/>
      <c r="W65" s="24"/>
      <c r="X65" s="24"/>
      <c r="Y65" s="55"/>
    </row>
    <row r="66" spans="19:25" ht="37.15" customHeight="1">
      <c r="S66" s="22"/>
      <c r="T66" s="23"/>
      <c r="U66" s="24"/>
      <c r="V66" s="24"/>
      <c r="W66" s="24"/>
      <c r="X66" s="24"/>
      <c r="Y66" s="55"/>
    </row>
    <row r="67" spans="19:25" ht="37.15" customHeight="1">
      <c r="S67" s="22"/>
      <c r="T67" s="23"/>
      <c r="U67" s="24"/>
      <c r="V67" s="24"/>
      <c r="W67" s="24"/>
      <c r="X67" s="24"/>
      <c r="Y67" s="55"/>
    </row>
    <row r="68" spans="19:25" ht="37.15" customHeight="1">
      <c r="S68" s="22"/>
      <c r="T68" s="23"/>
      <c r="U68" s="24"/>
      <c r="V68" s="24"/>
      <c r="W68" s="24"/>
      <c r="X68" s="24"/>
      <c r="Y68" s="55"/>
    </row>
    <row r="69" spans="19:25" ht="37.15" customHeight="1">
      <c r="S69" s="22"/>
      <c r="T69" s="23"/>
      <c r="U69" s="24"/>
      <c r="V69" s="24"/>
      <c r="W69" s="24"/>
      <c r="X69" s="24"/>
      <c r="Y69" s="55"/>
    </row>
    <row r="70" spans="19:25" ht="37.15" customHeight="1">
      <c r="S70" s="22"/>
      <c r="T70" s="23"/>
      <c r="U70" s="24"/>
      <c r="V70" s="24"/>
      <c r="W70" s="24"/>
      <c r="X70" s="24"/>
      <c r="Y70" s="55"/>
    </row>
    <row r="71" spans="19:25" ht="37.15" customHeight="1">
      <c r="S71" s="22"/>
      <c r="T71" s="23"/>
      <c r="U71" s="24"/>
      <c r="V71" s="24"/>
      <c r="W71" s="24"/>
      <c r="X71" s="24"/>
      <c r="Y71" s="55"/>
    </row>
    <row r="72" spans="19:25" ht="37.15" customHeight="1">
      <c r="S72" s="22"/>
      <c r="T72" s="23"/>
      <c r="U72" s="24"/>
      <c r="V72" s="24"/>
      <c r="W72" s="24"/>
      <c r="X72" s="24"/>
      <c r="Y72" s="55"/>
    </row>
    <row r="73" spans="19:25" ht="37.15" customHeight="1">
      <c r="S73" s="22"/>
      <c r="T73" s="23"/>
      <c r="U73" s="24"/>
      <c r="V73" s="24"/>
      <c r="W73" s="24"/>
      <c r="X73" s="24"/>
      <c r="Y73" s="55"/>
    </row>
    <row r="74" spans="19:25" ht="37.15" customHeight="1">
      <c r="S74" s="22"/>
      <c r="T74" s="23"/>
      <c r="U74" s="24"/>
      <c r="V74" s="24"/>
      <c r="W74" s="24"/>
      <c r="X74" s="24"/>
      <c r="Y74" s="55"/>
    </row>
    <row r="75" spans="19:25" ht="37.15" customHeight="1">
      <c r="S75" s="22"/>
      <c r="T75" s="23"/>
      <c r="U75" s="24"/>
      <c r="V75" s="24"/>
      <c r="W75" s="24"/>
      <c r="X75" s="24"/>
      <c r="Y75" s="55"/>
    </row>
    <row r="76" spans="19:25" ht="37.15" customHeight="1">
      <c r="S76" s="22"/>
      <c r="T76" s="23"/>
      <c r="U76" s="24"/>
      <c r="V76" s="24"/>
      <c r="W76" s="24"/>
      <c r="X76" s="24"/>
      <c r="Y76" s="55"/>
    </row>
    <row r="77" spans="19:25" ht="37.15" customHeight="1">
      <c r="S77" s="22"/>
      <c r="T77" s="23"/>
      <c r="U77" s="24"/>
      <c r="V77" s="24"/>
      <c r="W77" s="24"/>
      <c r="X77" s="24"/>
      <c r="Y77" s="55"/>
    </row>
    <row r="78" spans="19:25" ht="37.15" customHeight="1">
      <c r="S78" s="22"/>
      <c r="T78" s="23"/>
      <c r="U78" s="24"/>
      <c r="V78" s="24"/>
      <c r="W78" s="24"/>
      <c r="X78" s="24"/>
      <c r="Y78" s="55"/>
    </row>
    <row r="79" spans="19:25" ht="37.15" customHeight="1">
      <c r="S79" s="22"/>
      <c r="T79" s="23"/>
      <c r="U79" s="24"/>
      <c r="V79" s="24"/>
      <c r="W79" s="24"/>
      <c r="X79" s="24"/>
      <c r="Y79" s="55"/>
    </row>
    <row r="80" spans="19:25" ht="37.15" customHeight="1">
      <c r="S80" s="22"/>
      <c r="T80" s="23"/>
      <c r="U80" s="24"/>
      <c r="V80" s="24"/>
      <c r="W80" s="24"/>
      <c r="X80" s="24"/>
      <c r="Y80" s="55"/>
    </row>
    <row r="81" spans="19:25" ht="37.15" customHeight="1">
      <c r="S81" s="22"/>
      <c r="T81" s="23"/>
      <c r="U81" s="24"/>
      <c r="V81" s="24"/>
      <c r="W81" s="24"/>
      <c r="X81" s="24"/>
      <c r="Y81" s="55"/>
    </row>
    <row r="82" spans="19:25" ht="37.15" customHeight="1">
      <c r="S82" s="22"/>
      <c r="T82" s="23"/>
      <c r="U82" s="24"/>
      <c r="V82" s="24"/>
      <c r="W82" s="24"/>
      <c r="X82" s="24"/>
      <c r="Y82" s="55"/>
    </row>
    <row r="83" spans="19:25" ht="37.15" customHeight="1">
      <c r="S83" s="22"/>
      <c r="T83" s="23"/>
      <c r="U83" s="24"/>
      <c r="V83" s="24"/>
      <c r="W83" s="24"/>
      <c r="X83" s="24"/>
      <c r="Y83" s="55"/>
    </row>
    <row r="84" spans="19:25" ht="37.15" customHeight="1">
      <c r="S84" s="22"/>
      <c r="T84" s="23"/>
      <c r="U84" s="24"/>
      <c r="V84" s="24"/>
      <c r="W84" s="24"/>
      <c r="X84" s="24"/>
      <c r="Y84" s="55"/>
    </row>
    <row r="85" spans="19:25" ht="37.15" customHeight="1">
      <c r="S85" s="22"/>
      <c r="T85" s="23"/>
      <c r="U85" s="24"/>
      <c r="V85" s="24"/>
      <c r="W85" s="24"/>
      <c r="X85" s="24"/>
      <c r="Y85" s="55"/>
    </row>
    <row r="86" spans="19:25" ht="37.15" customHeight="1">
      <c r="S86" s="22"/>
      <c r="T86" s="23"/>
      <c r="U86" s="24"/>
      <c r="V86" s="24"/>
      <c r="W86" s="24"/>
      <c r="X86" s="24"/>
      <c r="Y86" s="55"/>
    </row>
    <row r="87" spans="19:25" ht="37.15" customHeight="1">
      <c r="S87" s="22"/>
      <c r="T87" s="23"/>
      <c r="U87" s="24"/>
      <c r="V87" s="24"/>
      <c r="W87" s="24"/>
      <c r="X87" s="24"/>
      <c r="Y87" s="55"/>
    </row>
    <row r="88" spans="19:25" ht="37.15" customHeight="1">
      <c r="S88" s="22"/>
      <c r="T88" s="23"/>
      <c r="U88" s="24"/>
      <c r="V88" s="24"/>
      <c r="W88" s="24"/>
      <c r="X88" s="24"/>
      <c r="Y88" s="55"/>
    </row>
    <row r="89" spans="19:25" ht="37.15" customHeight="1">
      <c r="S89" s="22"/>
      <c r="T89" s="23"/>
      <c r="U89" s="24"/>
      <c r="V89" s="24"/>
      <c r="W89" s="24"/>
      <c r="X89" s="24"/>
      <c r="Y89" s="55"/>
    </row>
    <row r="90" spans="19:25" ht="37.15" customHeight="1">
      <c r="S90" s="22"/>
      <c r="T90" s="23"/>
      <c r="U90" s="24"/>
      <c r="V90" s="24"/>
      <c r="W90" s="24"/>
      <c r="X90" s="24"/>
      <c r="Y90" s="55"/>
    </row>
    <row r="91" spans="19:25" ht="37.15" customHeight="1">
      <c r="S91" s="22"/>
      <c r="T91" s="23"/>
      <c r="U91" s="24"/>
      <c r="V91" s="24"/>
      <c r="W91" s="24"/>
      <c r="X91" s="24"/>
      <c r="Y91" s="55"/>
    </row>
    <row r="92" spans="19:25" ht="37.15" customHeight="1">
      <c r="S92" s="22"/>
      <c r="T92" s="23"/>
      <c r="U92" s="24"/>
      <c r="V92" s="24"/>
      <c r="W92" s="24"/>
      <c r="X92" s="24"/>
      <c r="Y92" s="55"/>
    </row>
    <row r="93" spans="19:25" ht="37.15" customHeight="1">
      <c r="S93" s="22"/>
      <c r="T93" s="23"/>
      <c r="U93" s="24"/>
      <c r="V93" s="24"/>
      <c r="W93" s="24"/>
      <c r="X93" s="24"/>
      <c r="Y93" s="55"/>
    </row>
    <row r="94" spans="19:25" ht="37.15" customHeight="1">
      <c r="S94" s="22"/>
      <c r="T94" s="23"/>
      <c r="U94" s="24"/>
      <c r="V94" s="24"/>
      <c r="W94" s="24"/>
      <c r="X94" s="24"/>
      <c r="Y94" s="55"/>
    </row>
    <row r="95" spans="19:25" ht="37.15" customHeight="1">
      <c r="S95" s="22"/>
      <c r="T95" s="23"/>
      <c r="U95" s="24"/>
      <c r="V95" s="24"/>
      <c r="W95" s="24"/>
      <c r="X95" s="24"/>
      <c r="Y95" s="55"/>
    </row>
    <row r="96" spans="19:25" ht="37.15" customHeight="1">
      <c r="S96" s="22"/>
      <c r="T96" s="23"/>
      <c r="U96" s="24"/>
      <c r="V96" s="24"/>
      <c r="W96" s="24"/>
      <c r="X96" s="24"/>
      <c r="Y96" s="55"/>
    </row>
    <row r="97" spans="19:25" ht="37.15" customHeight="1">
      <c r="S97" s="22"/>
      <c r="T97" s="23"/>
      <c r="U97" s="24"/>
      <c r="V97" s="24"/>
      <c r="W97" s="24"/>
      <c r="X97" s="24"/>
      <c r="Y97" s="55"/>
    </row>
    <row r="98" spans="19:25" ht="37.15" customHeight="1">
      <c r="S98" s="22"/>
      <c r="T98" s="23"/>
      <c r="U98" s="24"/>
      <c r="V98" s="24"/>
      <c r="W98" s="24"/>
      <c r="X98" s="24"/>
      <c r="Y98" s="55"/>
    </row>
    <row r="99" spans="19:25" ht="37.15" customHeight="1">
      <c r="S99" s="22"/>
      <c r="T99" s="23"/>
      <c r="U99" s="24"/>
      <c r="V99" s="24"/>
      <c r="W99" s="24"/>
      <c r="X99" s="24"/>
      <c r="Y99" s="55"/>
    </row>
    <row r="100" spans="19:25" ht="37.15" customHeight="1">
      <c r="S100" s="22"/>
      <c r="T100" s="23"/>
      <c r="U100" s="24"/>
      <c r="V100" s="24"/>
      <c r="W100" s="24"/>
      <c r="X100" s="24"/>
      <c r="Y100" s="55"/>
    </row>
    <row r="101" spans="19:25" ht="37.15" customHeight="1">
      <c r="S101" s="22"/>
      <c r="T101" s="23"/>
      <c r="U101" s="24"/>
      <c r="V101" s="24"/>
      <c r="W101" s="24"/>
      <c r="X101" s="24"/>
      <c r="Y101" s="55"/>
    </row>
    <row r="102" spans="19:25" ht="37.15" customHeight="1">
      <c r="S102" s="22"/>
      <c r="T102" s="23"/>
      <c r="U102" s="24"/>
      <c r="V102" s="24"/>
      <c r="W102" s="24"/>
      <c r="X102" s="24"/>
      <c r="Y102" s="55"/>
    </row>
    <row r="103" spans="19:25" ht="37.15" customHeight="1">
      <c r="S103" s="22"/>
      <c r="T103" s="23"/>
      <c r="U103" s="24"/>
      <c r="V103" s="24"/>
      <c r="W103" s="24"/>
      <c r="X103" s="24"/>
      <c r="Y103" s="55"/>
    </row>
    <row r="104" spans="19:25" ht="37.15" customHeight="1">
      <c r="S104" s="22"/>
      <c r="T104" s="23"/>
      <c r="U104" s="24"/>
      <c r="V104" s="24"/>
      <c r="W104" s="24"/>
      <c r="X104" s="24"/>
      <c r="Y104" s="55"/>
    </row>
    <row r="105" spans="19:25" ht="37.15" customHeight="1">
      <c r="S105" s="22"/>
      <c r="T105" s="23"/>
      <c r="U105" s="24"/>
      <c r="V105" s="24"/>
      <c r="W105" s="24"/>
      <c r="X105" s="24"/>
      <c r="Y105" s="55"/>
    </row>
    <row r="106" spans="19:25" ht="37.15" customHeight="1">
      <c r="S106" s="22"/>
      <c r="T106" s="23"/>
      <c r="U106" s="24"/>
      <c r="V106" s="24"/>
      <c r="W106" s="24"/>
      <c r="X106" s="24"/>
      <c r="Y106" s="55"/>
    </row>
    <row r="107" spans="19:25" ht="37.15" customHeight="1">
      <c r="S107" s="22"/>
      <c r="T107" s="23"/>
      <c r="U107" s="24"/>
      <c r="V107" s="24"/>
      <c r="W107" s="24"/>
      <c r="X107" s="24"/>
      <c r="Y107" s="55"/>
    </row>
    <row r="108" spans="19:25" ht="37.15" customHeight="1">
      <c r="S108" s="22"/>
      <c r="T108" s="23"/>
      <c r="U108" s="24"/>
      <c r="V108" s="24"/>
      <c r="W108" s="24"/>
      <c r="X108" s="24"/>
      <c r="Y108" s="55"/>
    </row>
    <row r="109" spans="19:25" ht="37.15" customHeight="1">
      <c r="S109" s="22"/>
      <c r="T109" s="23"/>
      <c r="U109" s="24"/>
      <c r="V109" s="24"/>
      <c r="W109" s="24"/>
      <c r="X109" s="24"/>
      <c r="Y109" s="55"/>
    </row>
    <row r="110" spans="19:25" ht="37.15" customHeight="1">
      <c r="S110" s="22"/>
      <c r="T110" s="23"/>
      <c r="U110" s="24"/>
      <c r="V110" s="24"/>
      <c r="W110" s="24"/>
      <c r="X110" s="24"/>
      <c r="Y110" s="55"/>
    </row>
    <row r="111" spans="19:25" ht="37.15" customHeight="1">
      <c r="S111" s="22"/>
      <c r="T111" s="23"/>
      <c r="U111" s="24"/>
      <c r="V111" s="24"/>
      <c r="W111" s="24"/>
      <c r="X111" s="24"/>
      <c r="Y111" s="55"/>
    </row>
    <row r="112" spans="19:25" ht="37.15" customHeight="1">
      <c r="S112" s="22"/>
      <c r="T112" s="23"/>
      <c r="U112" s="24"/>
      <c r="V112" s="24"/>
      <c r="W112" s="24"/>
      <c r="X112" s="24"/>
      <c r="Y112" s="55"/>
    </row>
    <row r="113" spans="19:25" ht="37.15" customHeight="1">
      <c r="S113" s="22"/>
      <c r="T113" s="23"/>
      <c r="U113" s="24"/>
      <c r="V113" s="24"/>
      <c r="W113" s="24"/>
      <c r="X113" s="24"/>
      <c r="Y113" s="55"/>
    </row>
    <row r="114" spans="19:25" ht="37.15" customHeight="1">
      <c r="S114" s="22"/>
      <c r="T114" s="23"/>
      <c r="U114" s="24"/>
      <c r="V114" s="24"/>
      <c r="W114" s="24"/>
      <c r="X114" s="24"/>
      <c r="Y114" s="55"/>
    </row>
    <row r="115" spans="19:25" ht="37.15" customHeight="1">
      <c r="S115" s="22"/>
      <c r="T115" s="23"/>
      <c r="U115" s="24"/>
      <c r="V115" s="24"/>
      <c r="W115" s="24"/>
      <c r="X115" s="24"/>
      <c r="Y115" s="55"/>
    </row>
    <row r="116" spans="19:25" ht="37.15" customHeight="1">
      <c r="S116" s="22"/>
      <c r="T116" s="23"/>
      <c r="U116" s="24"/>
      <c r="V116" s="24"/>
      <c r="W116" s="24"/>
      <c r="X116" s="24"/>
      <c r="Y116" s="55"/>
    </row>
    <row r="117" spans="19:25" ht="37.15" customHeight="1">
      <c r="S117" s="22"/>
      <c r="T117" s="23"/>
      <c r="U117" s="24"/>
      <c r="V117" s="24"/>
      <c r="W117" s="24"/>
      <c r="X117" s="24"/>
      <c r="Y117" s="55"/>
    </row>
    <row r="118" spans="19:25" ht="37.15" customHeight="1">
      <c r="S118" s="22"/>
      <c r="T118" s="23"/>
      <c r="U118" s="24"/>
      <c r="V118" s="24"/>
      <c r="W118" s="24"/>
      <c r="X118" s="24"/>
      <c r="Y118" s="55"/>
    </row>
    <row r="119" spans="19:25" ht="37.15" customHeight="1">
      <c r="S119" s="22"/>
      <c r="T119" s="23"/>
      <c r="U119" s="24"/>
      <c r="V119" s="24"/>
      <c r="W119" s="24"/>
      <c r="X119" s="24"/>
      <c r="Y119" s="55"/>
    </row>
    <row r="120" spans="19:25" ht="37.15" customHeight="1">
      <c r="S120" s="22"/>
      <c r="T120" s="23"/>
      <c r="U120" s="24"/>
      <c r="V120" s="24"/>
      <c r="W120" s="24"/>
      <c r="X120" s="24"/>
      <c r="Y120" s="55"/>
    </row>
    <row r="121" spans="19:25" ht="37.15" customHeight="1">
      <c r="S121" s="22"/>
      <c r="T121" s="23"/>
      <c r="U121" s="24"/>
      <c r="V121" s="24"/>
      <c r="W121" s="24"/>
      <c r="X121" s="24"/>
      <c r="Y121" s="55"/>
    </row>
    <row r="122" spans="19:25" ht="37.15" customHeight="1">
      <c r="S122" s="22"/>
      <c r="T122" s="23"/>
      <c r="U122" s="24"/>
      <c r="V122" s="24"/>
      <c r="W122" s="24"/>
      <c r="X122" s="24"/>
      <c r="Y122" s="55"/>
    </row>
    <row r="123" spans="19:25" ht="37.15" customHeight="1">
      <c r="S123" s="22"/>
      <c r="T123" s="23"/>
      <c r="U123" s="24"/>
      <c r="V123" s="24"/>
      <c r="W123" s="24"/>
      <c r="X123" s="24"/>
      <c r="Y123" s="55"/>
    </row>
    <row r="124" spans="19:25" ht="37.15" customHeight="1">
      <c r="S124" s="22"/>
      <c r="T124" s="23"/>
      <c r="U124" s="24"/>
      <c r="V124" s="24"/>
      <c r="W124" s="24"/>
      <c r="X124" s="24"/>
      <c r="Y124" s="55"/>
    </row>
    <row r="125" spans="19:25" ht="37.15" customHeight="1">
      <c r="S125" s="22"/>
      <c r="T125" s="23"/>
      <c r="U125" s="24"/>
      <c r="V125" s="24"/>
      <c r="W125" s="24"/>
      <c r="X125" s="24"/>
      <c r="Y125" s="55"/>
    </row>
    <row r="126" spans="19:25" ht="37.15" customHeight="1">
      <c r="T126" s="23"/>
    </row>
    <row r="127" spans="19:25" ht="37.15" customHeight="1">
      <c r="T127" s="23"/>
    </row>
    <row r="128" spans="19:25" ht="37.15" customHeight="1">
      <c r="T128" s="23"/>
    </row>
    <row r="129" spans="1:26" s="51" customFormat="1" ht="37.15" customHeight="1">
      <c r="A129"/>
      <c r="B129"/>
      <c r="C129"/>
      <c r="D129"/>
      <c r="E129"/>
      <c r="F129"/>
      <c r="G129"/>
      <c r="H129"/>
      <c r="I129"/>
      <c r="J129"/>
      <c r="K129"/>
      <c r="L129"/>
      <c r="M129"/>
      <c r="N129"/>
      <c r="O129"/>
      <c r="P129"/>
      <c r="Q129"/>
      <c r="R129"/>
      <c r="S129"/>
      <c r="T129" s="23"/>
      <c r="Y129"/>
      <c r="Z129"/>
    </row>
    <row r="130" spans="1:26" s="51" customFormat="1" ht="37.15" customHeight="1">
      <c r="A130"/>
      <c r="B130"/>
      <c r="C130"/>
      <c r="D130"/>
      <c r="E130"/>
      <c r="F130"/>
      <c r="G130"/>
      <c r="H130"/>
      <c r="I130"/>
      <c r="J130"/>
      <c r="K130"/>
      <c r="L130"/>
      <c r="M130"/>
      <c r="N130"/>
      <c r="O130"/>
      <c r="P130"/>
      <c r="Q130"/>
      <c r="R130"/>
      <c r="S130"/>
      <c r="T130" s="23"/>
      <c r="Y130"/>
      <c r="Z130"/>
    </row>
    <row r="131" spans="1:26" s="51" customFormat="1" ht="37.15" customHeight="1">
      <c r="A131"/>
      <c r="B131"/>
      <c r="C131"/>
      <c r="D131"/>
      <c r="E131"/>
      <c r="F131"/>
      <c r="G131"/>
      <c r="H131"/>
      <c r="I131"/>
      <c r="J131"/>
      <c r="K131"/>
      <c r="L131"/>
      <c r="M131"/>
      <c r="N131"/>
      <c r="O131"/>
      <c r="P131"/>
      <c r="Q131"/>
      <c r="R131"/>
      <c r="S131"/>
      <c r="T131" s="23"/>
      <c r="Y131"/>
      <c r="Z131"/>
    </row>
  </sheetData>
  <mergeCells count="6">
    <mergeCell ref="B2:I2"/>
    <mergeCell ref="B3:H3"/>
    <mergeCell ref="B4:H4"/>
    <mergeCell ref="B19:I21"/>
    <mergeCell ref="U6:Y10"/>
    <mergeCell ref="U4:Y5"/>
  </mergeCells>
  <conditionalFormatting sqref="D7 D14:D15">
    <cfRule type="cellIs" dxfId="181" priority="3" operator="equal">
      <formula>1</formula>
    </cfRule>
  </conditionalFormatting>
  <conditionalFormatting sqref="E6:I10 E12:I17 U17:X25 U36:X125">
    <cfRule type="cellIs" dxfId="180" priority="14" operator="equal">
      <formula>0</formula>
    </cfRule>
  </conditionalFormatting>
  <conditionalFormatting sqref="R11 R15 S17 S19:S20 R22:S22 R26 R30 R34 R38 R42 R46 R50 R54 R58 R62">
    <cfRule type="expression" dxfId="179" priority="8">
      <formula>$M10="CIERRE"</formula>
    </cfRule>
  </conditionalFormatting>
  <conditionalFormatting sqref="R12:R14 R16:R17 T17:T25 R19:R20 R21:S21 R23:S25 R27:R29 R31:R33 R35:R37 R39:R41 R43:R45 R47:R49 R51:R53 R55:R57 R59:R61 R63 T126:T131">
    <cfRule type="expression" dxfId="178" priority="7">
      <formula>$M12="CIERRE"</formula>
    </cfRule>
  </conditionalFormatting>
  <conditionalFormatting sqref="R18:S18">
    <cfRule type="expression" dxfId="177" priority="23">
      <formula>#REF!="CIERRE"</formula>
    </cfRule>
  </conditionalFormatting>
  <conditionalFormatting sqref="S36:S40">
    <cfRule type="expression" dxfId="176" priority="13">
      <formula>$M13="CIERRE"</formula>
    </cfRule>
  </conditionalFormatting>
  <conditionalFormatting sqref="S41">
    <cfRule type="expression" dxfId="175" priority="22">
      <formula>#REF!="CIERRE"</formula>
    </cfRule>
  </conditionalFormatting>
  <conditionalFormatting sqref="S42:S125">
    <cfRule type="expression" dxfId="174" priority="21">
      <formula>$M18="CIERRE"</formula>
    </cfRule>
  </conditionalFormatting>
  <conditionalFormatting sqref="T36:T39">
    <cfRule type="expression" dxfId="173" priority="5">
      <formula>$M14="CIERRE"</formula>
    </cfRule>
  </conditionalFormatting>
  <conditionalFormatting sqref="T40">
    <cfRule type="expression" dxfId="172" priority="20">
      <formula>#REF!="CIERRE"</formula>
    </cfRule>
  </conditionalFormatting>
  <conditionalFormatting sqref="T41:T125">
    <cfRule type="expression" dxfId="171" priority="4">
      <formula>$M18="CIERRE"</formula>
    </cfRule>
  </conditionalFormatting>
  <conditionalFormatting sqref="U17:X25 U36:X125">
    <cfRule type="cellIs" dxfId="170" priority="15" operator="equal">
      <formula>TODAY()</formula>
    </cfRule>
    <cfRule type="cellIs" dxfId="169" priority="16" operator="between">
      <formula>TODAY()+1</formula>
      <formula>TODAY()+9</formula>
    </cfRule>
    <cfRule type="cellIs" dxfId="168" priority="17" operator="greaterThan">
      <formula>TODAY()</formula>
    </cfRule>
    <cfRule type="cellIs" dxfId="167" priority="18" operator="lessThan">
      <formula>TODAY()</formula>
    </cfRule>
  </conditionalFormatting>
  <pageMargins left="0.25" right="0.25" top="0.75" bottom="0.75" header="0.3" footer="0.3"/>
  <pageSetup scale="58" orientation="landscape"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F926-A41E-4803-AB78-BF119DD5E26B}">
  <dimension ref="A1"/>
  <sheetViews>
    <sheetView workbookViewId="0"/>
  </sheetViews>
  <sheetFormatPr defaultColWidth="11" defaultRowHeight="16.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362B-7014-49F2-B60D-5FECAA946E8E}">
  <sheetPr codeName="Hoja2">
    <tabColor rgb="FFFFC000"/>
  </sheetPr>
  <dimension ref="B1:R69"/>
  <sheetViews>
    <sheetView showGridLines="0" showRowColHeaders="0" zoomScale="115" zoomScaleNormal="115" workbookViewId="0">
      <selection activeCell="G15" sqref="G15"/>
    </sheetView>
  </sheetViews>
  <sheetFormatPr defaultColWidth="9.375" defaultRowHeight="16.5"/>
  <cols>
    <col min="1" max="1" width="2.125" style="6" customWidth="1"/>
    <col min="2" max="2" width="28.75" style="6" customWidth="1"/>
    <col min="3" max="14" width="11" style="6" customWidth="1"/>
    <col min="15" max="16384" width="9.375" style="6"/>
  </cols>
  <sheetData>
    <row r="1" spans="2:18" ht="26.25">
      <c r="B1" s="145">
        <v>2026</v>
      </c>
    </row>
    <row r="2" spans="2:18" ht="33">
      <c r="B2" s="136" t="s">
        <v>142</v>
      </c>
      <c r="C2" s="137" t="s">
        <v>143</v>
      </c>
      <c r="D2" s="136" t="s">
        <v>144</v>
      </c>
      <c r="E2" s="136" t="s">
        <v>145</v>
      </c>
      <c r="F2" s="136" t="s">
        <v>146</v>
      </c>
      <c r="G2" s="136" t="s">
        <v>147</v>
      </c>
      <c r="H2" s="136" t="s">
        <v>148</v>
      </c>
      <c r="I2" s="136" t="s">
        <v>149</v>
      </c>
      <c r="J2" s="136" t="s">
        <v>150</v>
      </c>
      <c r="K2" s="136" t="s">
        <v>151</v>
      </c>
      <c r="L2" s="136" t="s">
        <v>152</v>
      </c>
      <c r="M2" s="136" t="s">
        <v>153</v>
      </c>
      <c r="N2" s="136" t="s">
        <v>154</v>
      </c>
      <c r="O2" s="140" t="s">
        <v>135</v>
      </c>
      <c r="R2"/>
    </row>
    <row r="3" spans="2:18">
      <c r="B3" s="110" t="s">
        <v>155</v>
      </c>
      <c r="C3" s="146"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3" s="147"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3" s="147">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1</v>
      </c>
      <c r="F3" s="147"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3" s="147"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3" s="147"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3" s="147"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3" s="147"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3" s="147"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3" s="147"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3" s="147"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3" s="148"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3" s="139">
        <f>SUM(C3:N3)</f>
        <v>1</v>
      </c>
      <c r="R3"/>
    </row>
    <row r="4" spans="2:18">
      <c r="B4" s="110" t="s">
        <v>156</v>
      </c>
      <c r="C4" s="149">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1</v>
      </c>
      <c r="D4"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4"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4"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4"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4"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4"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4"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4"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4"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4"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4"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4" s="139">
        <f t="shared" ref="O4:O26" si="0">SUM(C4:N4)</f>
        <v>1</v>
      </c>
      <c r="R4"/>
    </row>
    <row r="5" spans="2:18">
      <c r="B5" s="110" t="s">
        <v>157</v>
      </c>
      <c r="C5"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5"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5"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5"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5"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5"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5"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5"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5"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5"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5"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5"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5" s="139">
        <f t="shared" si="0"/>
        <v>0</v>
      </c>
      <c r="R5"/>
    </row>
    <row r="6" spans="2:18">
      <c r="B6" s="110" t="s">
        <v>158</v>
      </c>
      <c r="C6" s="149">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1</v>
      </c>
      <c r="D6"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6" s="150">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1</v>
      </c>
      <c r="F6"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6"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6"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6"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6"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6"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6"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6"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6"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6" s="139">
        <f t="shared" si="0"/>
        <v>2</v>
      </c>
      <c r="R6"/>
    </row>
    <row r="7" spans="2:18">
      <c r="B7" s="110" t="s">
        <v>159</v>
      </c>
      <c r="C7"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7"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7" s="150">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1</v>
      </c>
      <c r="F7"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7"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7"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7"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7"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7"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7"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7"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7"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7" s="139">
        <f t="shared" si="0"/>
        <v>1</v>
      </c>
    </row>
    <row r="8" spans="2:18">
      <c r="B8" s="110" t="s">
        <v>160</v>
      </c>
      <c r="C8"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8"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8"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8"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8"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8"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8"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8"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8"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8"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8"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8"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8" s="139">
        <f t="shared" si="0"/>
        <v>0</v>
      </c>
    </row>
    <row r="9" spans="2:18" hidden="1">
      <c r="B9" s="110" t="s">
        <v>161</v>
      </c>
      <c r="C9"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9"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9"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9"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9"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9"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9"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9"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9"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9"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9"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9"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9" s="139">
        <f t="shared" si="0"/>
        <v>0</v>
      </c>
    </row>
    <row r="10" spans="2:18">
      <c r="B10" s="110" t="s">
        <v>162</v>
      </c>
      <c r="C10"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0"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0"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0"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0"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0"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0"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0"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0"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0"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0"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0"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0" s="139">
        <f>SUM(C10:N10)</f>
        <v>0</v>
      </c>
    </row>
    <row r="11" spans="2:18">
      <c r="B11" s="110" t="s">
        <v>163</v>
      </c>
      <c r="C11"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1"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1" s="150">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1</v>
      </c>
      <c r="F11"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1"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1"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1"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1"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1"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1"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1"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1"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1" s="139">
        <f t="shared" si="0"/>
        <v>1</v>
      </c>
    </row>
    <row r="12" spans="2:18">
      <c r="B12" s="110" t="s">
        <v>164</v>
      </c>
      <c r="C12"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2"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2"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2"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2"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2"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2"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2"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2"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2"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2"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2"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2" s="139">
        <f t="shared" si="0"/>
        <v>0</v>
      </c>
    </row>
    <row r="13" spans="2:18">
      <c r="B13" s="110" t="s">
        <v>165</v>
      </c>
      <c r="C13" s="149">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1</v>
      </c>
      <c r="D13"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3"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3"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3"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3"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3"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3"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3"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3"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3"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3"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3" s="139">
        <f t="shared" si="0"/>
        <v>1</v>
      </c>
    </row>
    <row r="14" spans="2:18">
      <c r="B14" s="110" t="s">
        <v>166</v>
      </c>
      <c r="C14"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4" s="150">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1</v>
      </c>
      <c r="E14"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4"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4"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4"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4"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4"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4"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4"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4"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4"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4" s="139">
        <f>SUM(C14:N14)</f>
        <v>1</v>
      </c>
    </row>
    <row r="15" spans="2:18">
      <c r="B15" s="110" t="s">
        <v>167</v>
      </c>
      <c r="C15"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5"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5" s="150">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1</v>
      </c>
      <c r="F15"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5"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5"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5"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5"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5"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5"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5"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5"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5" s="139">
        <f t="shared" si="0"/>
        <v>1</v>
      </c>
    </row>
    <row r="16" spans="2:18">
      <c r="B16" s="110" t="s">
        <v>168</v>
      </c>
      <c r="C16"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6"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6"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6"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6"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6"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6"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6"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6"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6"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6"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6"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6" s="139">
        <f t="shared" si="0"/>
        <v>0</v>
      </c>
    </row>
    <row r="17" spans="2:15" ht="28.5">
      <c r="B17" s="110" t="s">
        <v>169</v>
      </c>
      <c r="C17"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7"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7"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7"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7"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7"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7"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7"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7"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7"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7"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7"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7" s="139">
        <f t="shared" si="0"/>
        <v>0</v>
      </c>
    </row>
    <row r="18" spans="2:15">
      <c r="B18" s="110" t="s">
        <v>170</v>
      </c>
      <c r="C18"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8"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8"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8"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8"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8"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8"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8"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8"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8"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8"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8"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8" s="139">
        <f t="shared" si="0"/>
        <v>0</v>
      </c>
    </row>
    <row r="19" spans="2:15">
      <c r="B19" s="110" t="s">
        <v>171</v>
      </c>
      <c r="C19"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19"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19"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19"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19"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19"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19"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19"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19"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19"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19"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19"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19" s="139">
        <f t="shared" si="0"/>
        <v>0</v>
      </c>
    </row>
    <row r="20" spans="2:15">
      <c r="B20" s="110" t="s">
        <v>172</v>
      </c>
      <c r="C20"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0"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0"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0"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0"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0"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0"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0"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0"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0"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0"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0"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0" s="139">
        <f t="shared" si="0"/>
        <v>0</v>
      </c>
    </row>
    <row r="21" spans="2:15">
      <c r="B21" s="110" t="s">
        <v>173</v>
      </c>
      <c r="C21"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1"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1"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1"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1"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1"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1"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1"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1"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1"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1"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1"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1" s="139">
        <f t="shared" si="0"/>
        <v>0</v>
      </c>
    </row>
    <row r="22" spans="2:15">
      <c r="B22" s="110" t="s">
        <v>174</v>
      </c>
      <c r="C22"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2"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2"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2"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2"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2"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2"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2"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2"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2"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2"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2"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2" s="139">
        <f t="shared" si="0"/>
        <v>0</v>
      </c>
    </row>
    <row r="23" spans="2:15">
      <c r="B23" s="110" t="s">
        <v>175</v>
      </c>
      <c r="C23"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3"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3"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3"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3"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3"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3"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3"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3"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3"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3"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3"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3" s="139">
        <f t="shared" si="0"/>
        <v>0</v>
      </c>
    </row>
    <row r="24" spans="2:15">
      <c r="B24" s="110" t="s">
        <v>176</v>
      </c>
      <c r="C24"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4" s="150">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1</v>
      </c>
      <c r="E24"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4"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4"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4"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4"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4"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4"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4"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4"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4"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4" s="139">
        <f t="shared" si="0"/>
        <v>1</v>
      </c>
    </row>
    <row r="25" spans="2:15" ht="28.5" hidden="1">
      <c r="B25" s="110" t="s">
        <v>177</v>
      </c>
      <c r="C25" s="149"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5" s="150"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5" s="150"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5" s="150"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5" s="150"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5" s="150"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5" s="150"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5" s="150"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5" s="150"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5" s="150"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5" s="150"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5" s="151"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5" s="139">
        <f t="shared" si="0"/>
        <v>0</v>
      </c>
    </row>
    <row r="26" spans="2:15">
      <c r="B26" s="138" t="s">
        <v>178</v>
      </c>
      <c r="C26" s="152" t="str">
        <f>IF(SUM(COUNTIFS(ACCIONES[Auditor P. Cierre],AUD[[#This Row],[Auditores]],ACCIONES[Mes recibido (AUD)],C$2,ACCIONES[año recibido (AUD)],$B$1),COUNTIFS(MEJORAS[Auditor P. Cierre],AUD[[#This Row],[Auditores]],MEJORAS[Mes recibido (AUD)],C$2,MEJORAS[año recibido (AUD)],$B$1))&gt;=1,SUM(COUNTIFS(ACCIONES[Auditor P. Cierre],AUD[[#This Row],[Auditores]],ACCIONES[Mes recibido (AUD)],C$2,ACCIONES[año recibido (AUD)],$B$1),COUNTIFS(MEJORAS[Auditor P. Cierre],AUD[[#This Row],[Auditores]],MEJORAS[Mes recibido (AUD)],C$2,MEJORAS[año recibido (AUD)],$B$1)),IF(SUM(COUNTIFS(ACCIONES[Auditor P. Cierre],AUD[[#This Row],[Auditores]],ACCIONES[MES ENTREGADO],C$2,ACCIONES[AÑO ENTREGADO],$B$1),COUNTIFS(MEJORAS[Auditor P. Cierre],AUD[[#This Row],[Auditores]],MEJORAS[MES ENTREGA],C$2,MEJORAS[AÑO ENTREGA],$B$1))&gt;=1,"Pendiente",""))</f>
        <v/>
      </c>
      <c r="D26" s="153" t="str">
        <f>IF(SUM(COUNTIFS(ACCIONES[Auditor P. Cierre],AUD[[#This Row],[Auditores]],ACCIONES[Mes recibido (AUD)],D$2,ACCIONES[año recibido (AUD)],$B$1),COUNTIFS(MEJORAS[Auditor P. Cierre],AUD[[#This Row],[Auditores]],MEJORAS[Mes recibido (AUD)],D$2,MEJORAS[año recibido (AUD)],$B$1))&gt;=1,SUM(COUNTIFS(ACCIONES[Auditor P. Cierre],AUD[[#This Row],[Auditores]],ACCIONES[Mes recibido (AUD)],D$2,ACCIONES[año recibido (AUD)],$B$1),COUNTIFS(MEJORAS[Auditor P. Cierre],AUD[[#This Row],[Auditores]],MEJORAS[Mes recibido (AUD)],D$2,MEJORAS[año recibido (AUD)],$B$1)),IF(SUM(COUNTIFS(ACCIONES[Auditor P. Cierre],AUD[[#This Row],[Auditores]],ACCIONES[MES ENTREGADO],D$2,ACCIONES[AÑO ENTREGADO],$B$1),COUNTIFS(MEJORAS[Auditor P. Cierre],AUD[[#This Row],[Auditores]],MEJORAS[MES ENTREGA],D$2,MEJORAS[AÑO ENTREGA],$B$1))&gt;=1,"Pendiente",""))</f>
        <v/>
      </c>
      <c r="E26" s="153" t="str">
        <f>IF(SUM(COUNTIFS(ACCIONES[Auditor P. Cierre],AUD[[#This Row],[Auditores]],ACCIONES[Mes recibido (AUD)],E$2,ACCIONES[año recibido (AUD)],$B$1),COUNTIFS(MEJORAS[Auditor P. Cierre],AUD[[#This Row],[Auditores]],MEJORAS[Mes recibido (AUD)],E$2,MEJORAS[año recibido (AUD)],$B$1))&gt;=1,SUM(COUNTIFS(ACCIONES[Auditor P. Cierre],AUD[[#This Row],[Auditores]],ACCIONES[Mes recibido (AUD)],E$2,ACCIONES[año recibido (AUD)],$B$1),COUNTIFS(MEJORAS[Auditor P. Cierre],AUD[[#This Row],[Auditores]],MEJORAS[Mes recibido (AUD)],E$2,MEJORAS[año recibido (AUD)],$B$1)),IF(SUM(COUNTIFS(ACCIONES[Auditor P. Cierre],AUD[[#This Row],[Auditores]],ACCIONES[MES ENTREGADO],E$2,ACCIONES[AÑO ENTREGADO],$B$1),COUNTIFS(MEJORAS[Auditor P. Cierre],AUD[[#This Row],[Auditores]],MEJORAS[MES ENTREGA],E$2,MEJORAS[AÑO ENTREGA],$B$1))&gt;=1,"Pendiente",""))</f>
        <v/>
      </c>
      <c r="F26" s="153" t="str">
        <f>IF(SUM(COUNTIFS(ACCIONES[Auditor P. Cierre],AUD[[#This Row],[Auditores]],ACCIONES[Mes recibido (AUD)],F$2,ACCIONES[año recibido (AUD)],$B$1),COUNTIFS(MEJORAS[Auditor P. Cierre],AUD[[#This Row],[Auditores]],MEJORAS[Mes recibido (AUD)],F$2,MEJORAS[año recibido (AUD)],$B$1))&gt;=1,SUM(COUNTIFS(ACCIONES[Auditor P. Cierre],AUD[[#This Row],[Auditores]],ACCIONES[Mes recibido (AUD)],F$2,ACCIONES[año recibido (AUD)],$B$1),COUNTIFS(MEJORAS[Auditor P. Cierre],AUD[[#This Row],[Auditores]],MEJORAS[Mes recibido (AUD)],F$2,MEJORAS[año recibido (AUD)],$B$1)),IF(SUM(COUNTIFS(ACCIONES[Auditor P. Cierre],AUD[[#This Row],[Auditores]],ACCIONES[MES ENTREGADO],F$2,ACCIONES[AÑO ENTREGADO],$B$1),COUNTIFS(MEJORAS[Auditor P. Cierre],AUD[[#This Row],[Auditores]],MEJORAS[MES ENTREGA],F$2,MEJORAS[AÑO ENTREGA],$B$1))&gt;=1,"Pendiente",""))</f>
        <v/>
      </c>
      <c r="G26" s="153" t="str">
        <f>IF(SUM(COUNTIFS(ACCIONES[Auditor P. Cierre],AUD[[#This Row],[Auditores]],ACCIONES[Mes recibido (AUD)],G$2,ACCIONES[año recibido (AUD)],$B$1),COUNTIFS(MEJORAS[Auditor P. Cierre],AUD[[#This Row],[Auditores]],MEJORAS[Mes recibido (AUD)],G$2,MEJORAS[año recibido (AUD)],$B$1))&gt;=1,SUM(COUNTIFS(ACCIONES[Auditor P. Cierre],AUD[[#This Row],[Auditores]],ACCIONES[Mes recibido (AUD)],G$2,ACCIONES[año recibido (AUD)],$B$1),COUNTIFS(MEJORAS[Auditor P. Cierre],AUD[[#This Row],[Auditores]],MEJORAS[Mes recibido (AUD)],G$2,MEJORAS[año recibido (AUD)],$B$1)),IF(SUM(COUNTIFS(ACCIONES[Auditor P. Cierre],AUD[[#This Row],[Auditores]],ACCIONES[MES ENTREGADO],G$2,ACCIONES[AÑO ENTREGADO],$B$1),COUNTIFS(MEJORAS[Auditor P. Cierre],AUD[[#This Row],[Auditores]],MEJORAS[MES ENTREGA],G$2,MEJORAS[AÑO ENTREGA],$B$1))&gt;=1,"Pendiente",""))</f>
        <v/>
      </c>
      <c r="H26" s="153" t="str">
        <f>IF(SUM(COUNTIFS(ACCIONES[Auditor P. Cierre],AUD[[#This Row],[Auditores]],ACCIONES[Mes recibido (AUD)],H$2,ACCIONES[año recibido (AUD)],$B$1),COUNTIFS(MEJORAS[Auditor P. Cierre],AUD[[#This Row],[Auditores]],MEJORAS[Mes recibido (AUD)],H$2,MEJORAS[año recibido (AUD)],$B$1))&gt;=1,SUM(COUNTIFS(ACCIONES[Auditor P. Cierre],AUD[[#This Row],[Auditores]],ACCIONES[Mes recibido (AUD)],H$2,ACCIONES[año recibido (AUD)],$B$1),COUNTIFS(MEJORAS[Auditor P. Cierre],AUD[[#This Row],[Auditores]],MEJORAS[Mes recibido (AUD)],H$2,MEJORAS[año recibido (AUD)],$B$1)),IF(SUM(COUNTIFS(ACCIONES[Auditor P. Cierre],AUD[[#This Row],[Auditores]],ACCIONES[MES ENTREGADO],H$2,ACCIONES[AÑO ENTREGADO],$B$1),COUNTIFS(MEJORAS[Auditor P. Cierre],AUD[[#This Row],[Auditores]],MEJORAS[MES ENTREGA],H$2,MEJORAS[AÑO ENTREGA],$B$1))&gt;=1,"Pendiente",""))</f>
        <v/>
      </c>
      <c r="I26" s="153" t="str">
        <f>IF(SUM(COUNTIFS(ACCIONES[Auditor P. Cierre],AUD[[#This Row],[Auditores]],ACCIONES[Mes recibido (AUD)],I$2,ACCIONES[año recibido (AUD)],$B$1),COUNTIFS(MEJORAS[Auditor P. Cierre],AUD[[#This Row],[Auditores]],MEJORAS[Mes recibido (AUD)],I$2,MEJORAS[año recibido (AUD)],$B$1))&gt;=1,SUM(COUNTIFS(ACCIONES[Auditor P. Cierre],AUD[[#This Row],[Auditores]],ACCIONES[Mes recibido (AUD)],I$2,ACCIONES[año recibido (AUD)],$B$1),COUNTIFS(MEJORAS[Auditor P. Cierre],AUD[[#This Row],[Auditores]],MEJORAS[Mes recibido (AUD)],I$2,MEJORAS[año recibido (AUD)],$B$1)),IF(SUM(COUNTIFS(ACCIONES[Auditor P. Cierre],AUD[[#This Row],[Auditores]],ACCIONES[MES ENTREGADO],I$2,ACCIONES[AÑO ENTREGADO],$B$1),COUNTIFS(MEJORAS[Auditor P. Cierre],AUD[[#This Row],[Auditores]],MEJORAS[MES ENTREGA],I$2,MEJORAS[AÑO ENTREGA],$B$1))&gt;=1,"Pendiente",""))</f>
        <v/>
      </c>
      <c r="J26" s="153" t="str">
        <f>IF(SUM(COUNTIFS(ACCIONES[Auditor P. Cierre],AUD[[#This Row],[Auditores]],ACCIONES[Mes recibido (AUD)],J$2,ACCIONES[año recibido (AUD)],$B$1),COUNTIFS(MEJORAS[Auditor P. Cierre],AUD[[#This Row],[Auditores]],MEJORAS[Mes recibido (AUD)],J$2,MEJORAS[año recibido (AUD)],$B$1))&gt;=1,SUM(COUNTIFS(ACCIONES[Auditor P. Cierre],AUD[[#This Row],[Auditores]],ACCIONES[Mes recibido (AUD)],J$2,ACCIONES[año recibido (AUD)],$B$1),COUNTIFS(MEJORAS[Auditor P. Cierre],AUD[[#This Row],[Auditores]],MEJORAS[Mes recibido (AUD)],J$2,MEJORAS[año recibido (AUD)],$B$1)),IF(SUM(COUNTIFS(ACCIONES[Auditor P. Cierre],AUD[[#This Row],[Auditores]],ACCIONES[MES ENTREGADO],J$2,ACCIONES[AÑO ENTREGADO],$B$1),COUNTIFS(MEJORAS[Auditor P. Cierre],AUD[[#This Row],[Auditores]],MEJORAS[MES ENTREGA],J$2,MEJORAS[AÑO ENTREGA],$B$1))&gt;=1,"Pendiente",""))</f>
        <v/>
      </c>
      <c r="K26" s="153" t="str">
        <f>IF(SUM(COUNTIFS(ACCIONES[Auditor P. Cierre],AUD[[#This Row],[Auditores]],ACCIONES[Mes recibido (AUD)],K$2,ACCIONES[año recibido (AUD)],$B$1),COUNTIFS(MEJORAS[Auditor P. Cierre],AUD[[#This Row],[Auditores]],MEJORAS[Mes recibido (AUD)],K$2,MEJORAS[año recibido (AUD)],$B$1))&gt;=1,SUM(COUNTIFS(ACCIONES[Auditor P. Cierre],AUD[[#This Row],[Auditores]],ACCIONES[Mes recibido (AUD)],K$2,ACCIONES[año recibido (AUD)],$B$1),COUNTIFS(MEJORAS[Auditor P. Cierre],AUD[[#This Row],[Auditores]],MEJORAS[Mes recibido (AUD)],K$2,MEJORAS[año recibido (AUD)],$B$1)),IF(SUM(COUNTIFS(ACCIONES[Auditor P. Cierre],AUD[[#This Row],[Auditores]],ACCIONES[MES ENTREGADO],K$2,ACCIONES[AÑO ENTREGADO],$B$1),COUNTIFS(MEJORAS[Auditor P. Cierre],AUD[[#This Row],[Auditores]],MEJORAS[MES ENTREGA],K$2,MEJORAS[AÑO ENTREGA],$B$1))&gt;=1,"Pendiente",""))</f>
        <v/>
      </c>
      <c r="L26" s="153" t="str">
        <f>IF(SUM(COUNTIFS(ACCIONES[Auditor P. Cierre],AUD[[#This Row],[Auditores]],ACCIONES[Mes recibido (AUD)],L$2,ACCIONES[año recibido (AUD)],$B$1),COUNTIFS(MEJORAS[Auditor P. Cierre],AUD[[#This Row],[Auditores]],MEJORAS[Mes recibido (AUD)],L$2,MEJORAS[año recibido (AUD)],$B$1))&gt;=1,SUM(COUNTIFS(ACCIONES[Auditor P. Cierre],AUD[[#This Row],[Auditores]],ACCIONES[Mes recibido (AUD)],L$2,ACCIONES[año recibido (AUD)],$B$1),COUNTIFS(MEJORAS[Auditor P. Cierre],AUD[[#This Row],[Auditores]],MEJORAS[Mes recibido (AUD)],L$2,MEJORAS[año recibido (AUD)],$B$1)),IF(SUM(COUNTIFS(ACCIONES[Auditor P. Cierre],AUD[[#This Row],[Auditores]],ACCIONES[MES ENTREGADO],L$2,ACCIONES[AÑO ENTREGADO],$B$1),COUNTIFS(MEJORAS[Auditor P. Cierre],AUD[[#This Row],[Auditores]],MEJORAS[MES ENTREGA],L$2,MEJORAS[AÑO ENTREGA],$B$1))&gt;=1,"Pendiente",""))</f>
        <v/>
      </c>
      <c r="M26" s="153" t="str">
        <f>IF(SUM(COUNTIFS(ACCIONES[Auditor P. Cierre],AUD[[#This Row],[Auditores]],ACCIONES[Mes recibido (AUD)],M$2,ACCIONES[año recibido (AUD)],$B$1),COUNTIFS(MEJORAS[Auditor P. Cierre],AUD[[#This Row],[Auditores]],MEJORAS[Mes recibido (AUD)],M$2,MEJORAS[año recibido (AUD)],$B$1))&gt;=1,SUM(COUNTIFS(ACCIONES[Auditor P. Cierre],AUD[[#This Row],[Auditores]],ACCIONES[Mes recibido (AUD)],M$2,ACCIONES[año recibido (AUD)],$B$1),COUNTIFS(MEJORAS[Auditor P. Cierre],AUD[[#This Row],[Auditores]],MEJORAS[Mes recibido (AUD)],M$2,MEJORAS[año recibido (AUD)],$B$1)),IF(SUM(COUNTIFS(ACCIONES[Auditor P. Cierre],AUD[[#This Row],[Auditores]],ACCIONES[MES ENTREGADO],M$2,ACCIONES[AÑO ENTREGADO],$B$1),COUNTIFS(MEJORAS[Auditor P. Cierre],AUD[[#This Row],[Auditores]],MEJORAS[MES ENTREGA],M$2,MEJORAS[AÑO ENTREGA],$B$1))&gt;=1,"Pendiente",""))</f>
        <v/>
      </c>
      <c r="N26" s="154" t="str">
        <f>IF(SUM(COUNTIFS(ACCIONES[Auditor P. Cierre],AUD[[#This Row],[Auditores]],ACCIONES[Mes recibido (AUD)],N$2,ACCIONES[año recibido (AUD)],$B$1),COUNTIFS(MEJORAS[Auditor P. Cierre],AUD[[#This Row],[Auditores]],MEJORAS[Mes recibido (AUD)],N$2,MEJORAS[año recibido (AUD)],$B$1))&gt;=1,SUM(COUNTIFS(ACCIONES[Auditor P. Cierre],AUD[[#This Row],[Auditores]],ACCIONES[Mes recibido (AUD)],N$2,ACCIONES[año recibido (AUD)],$B$1),COUNTIFS(MEJORAS[Auditor P. Cierre],AUD[[#This Row],[Auditores]],MEJORAS[Mes recibido (AUD)],N$2,MEJORAS[año recibido (AUD)],$B$1)),IF(SUM(COUNTIFS(ACCIONES[Auditor P. Cierre],AUD[[#This Row],[Auditores]],ACCIONES[MES ENTREGADO],N$2,ACCIONES[AÑO ENTREGADO],$B$1),COUNTIFS(MEJORAS[Auditor P. Cierre],AUD[[#This Row],[Auditores]],MEJORAS[MES ENTREGA],N$2,MEJORAS[AÑO ENTREGA],$B$1))&gt;=1,"Pendiente",""))</f>
        <v/>
      </c>
      <c r="O26" s="139">
        <f t="shared" si="0"/>
        <v>0</v>
      </c>
    </row>
    <row r="27" spans="2:15">
      <c r="B27" s="135"/>
      <c r="C27" s="155"/>
      <c r="D27" s="155"/>
      <c r="E27" s="155"/>
      <c r="F27" s="155"/>
      <c r="G27" s="155"/>
      <c r="H27" s="155"/>
      <c r="I27" s="155"/>
      <c r="J27" s="155"/>
      <c r="K27" s="155"/>
      <c r="L27" s="155"/>
      <c r="M27" s="155"/>
      <c r="N27" s="156"/>
    </row>
    <row r="28" spans="2:15">
      <c r="B28"/>
      <c r="C28" s="28"/>
      <c r="D28" s="28"/>
      <c r="E28" s="155"/>
      <c r="F28" s="155"/>
      <c r="G28" s="155"/>
      <c r="H28" s="155"/>
      <c r="I28" s="155"/>
      <c r="J28" s="155"/>
      <c r="K28" s="155"/>
      <c r="L28" s="155"/>
      <c r="M28" s="155"/>
      <c r="N28" s="155"/>
    </row>
    <row r="29" spans="2:15" ht="26.25">
      <c r="B29" s="145">
        <v>2026</v>
      </c>
      <c r="C29" s="155"/>
      <c r="D29" s="155"/>
      <c r="E29" s="155"/>
      <c r="F29" s="155"/>
      <c r="G29" s="155"/>
      <c r="H29" s="155"/>
      <c r="I29" s="155"/>
      <c r="J29" s="155"/>
      <c r="K29" s="155"/>
      <c r="L29" s="155"/>
      <c r="M29" s="155"/>
      <c r="N29" s="155"/>
    </row>
    <row r="30" spans="2:15" ht="29.25">
      <c r="B30" s="143" t="s">
        <v>179</v>
      </c>
      <c r="C30" s="157" t="s">
        <v>180</v>
      </c>
      <c r="D30" s="158" t="s">
        <v>181</v>
      </c>
      <c r="E30" s="159"/>
      <c r="F30" s="158"/>
      <c r="G30" s="155"/>
      <c r="H30" s="157" t="s">
        <v>182</v>
      </c>
      <c r="I30" s="158"/>
      <c r="J30" s="158" t="s">
        <v>181</v>
      </c>
      <c r="K30" s="158"/>
      <c r="L30" s="155"/>
      <c r="M30" s="155"/>
      <c r="N30" s="155"/>
    </row>
    <row r="31" spans="2:15" ht="18" customHeight="1">
      <c r="B31" s="142"/>
      <c r="C31" s="160" t="str" cm="1">
        <f t="array" ref="C31:C32">IF(B32="","",IFERROR(_xlfn._xlws.SORT(_xlfn.VSTACK(IFERROR(_xlfn._xlws.FILTER(_xlfn.HSTACK(ACCIONES[FOLIO],ACCIONES[DIRECCIÓN O GERENCIA]),(ACCIONES[Auditor P. Cierre]=B32)*(ACCIONES[ESTATUS]&lt;&gt;"Cerrada")),""),IFERROR(_xlfn._xlws.FILTER(_xlfn.HSTACK(MEJORAS[FOLIO],MEJORAS[ÁREA]),(MEJORAS[Auditor P. Cierre]=B32)*(MEJORAS[ESTATUS]&lt;&gt;"Cerrada")),"")),1,-1),""))</f>
        <v/>
      </c>
      <c r="D31" s="160"/>
      <c r="E31" s="160"/>
      <c r="F31" s="160"/>
      <c r="G31" s="160"/>
      <c r="H31" s="160" t="str" cm="1">
        <f t="array" ref="H31:I32">IF(B32="","",IFERROR(_xlfn._xlws.SORT(_xlfn.VSTACK(IFERROR(_xlfn._xlws.FILTER(_xlfn.HSTACK(ACCIONES[FOLIO],ACCIONES[DIRECCIÓN O GERENCIA]),((ACCIONES[Auditor P. Cierre]=B32)*(ACCIONES[ESTATUS]="CERRADA")*(ACCIONES[año]=$B$29))),""),IFERROR(_xlfn._xlws.FILTER(_xlfn.HSTACK(MEJORAS[FOLIO],MEJORAS[ÁREA]),((MEJORAS[Auditor P. Cierre]=$B32)*(MEJORAS[ESTATUS]="CERRADA")*(MEJORAS[AÑO]=$B$29))),"")),1,-1),""))</f>
        <v>AVM-02</v>
      </c>
      <c r="I31" s="160" t="str">
        <v>Sistema de Gestión de Calidad</v>
      </c>
      <c r="J31" s="160"/>
      <c r="K31" s="160"/>
      <c r="L31" s="155"/>
      <c r="M31" s="155"/>
      <c r="N31" s="155"/>
    </row>
    <row r="32" spans="2:15" ht="18" customHeight="1">
      <c r="B32" s="188" t="s">
        <v>176</v>
      </c>
      <c r="C32" s="160" t="str">
        <v/>
      </c>
      <c r="D32" s="160"/>
      <c r="E32" s="160"/>
      <c r="F32" s="160"/>
      <c r="G32" s="160"/>
      <c r="H32" s="160" t="str">
        <v/>
      </c>
      <c r="I32" s="160" t="str">
        <v/>
      </c>
      <c r="J32" s="160"/>
      <c r="K32" s="160"/>
      <c r="L32" s="155"/>
      <c r="M32" s="155"/>
      <c r="N32" s="155"/>
    </row>
    <row r="33" spans="2:15" ht="18" customHeight="1">
      <c r="B33" s="189"/>
      <c r="C33" s="160"/>
      <c r="D33" s="160"/>
      <c r="E33" s="160"/>
      <c r="F33" s="160"/>
      <c r="G33" s="160"/>
      <c r="H33" s="160"/>
      <c r="I33" s="160"/>
      <c r="J33" s="160"/>
      <c r="K33" s="160"/>
      <c r="L33" s="155"/>
      <c r="M33" s="155"/>
      <c r="N33" s="155"/>
    </row>
    <row r="34" spans="2:15" ht="18" customHeight="1">
      <c r="B34" s="189"/>
      <c r="C34" s="160"/>
      <c r="D34" s="160"/>
      <c r="E34" s="160"/>
      <c r="F34" s="160"/>
      <c r="G34" s="160"/>
      <c r="H34" s="160"/>
      <c r="I34" s="160"/>
      <c r="J34" s="160"/>
      <c r="K34" s="160"/>
      <c r="L34" s="155"/>
      <c r="M34" s="155"/>
      <c r="N34" s="155"/>
    </row>
    <row r="35" spans="2:15" ht="18" customHeight="1">
      <c r="B35" s="190"/>
      <c r="C35" s="160"/>
      <c r="D35" s="160"/>
      <c r="E35" s="160"/>
      <c r="F35" s="160"/>
      <c r="G35" s="160"/>
      <c r="H35" s="160"/>
      <c r="I35" s="160"/>
      <c r="J35" s="160"/>
      <c r="K35" s="160"/>
      <c r="L35" s="155"/>
      <c r="M35" s="155"/>
      <c r="N35" s="155"/>
    </row>
    <row r="36" spans="2:15" ht="18" customHeight="1">
      <c r="B36" s="144"/>
      <c r="C36" s="28"/>
      <c r="D36" s="28"/>
      <c r="E36" s="28"/>
      <c r="F36" s="28"/>
      <c r="G36" s="28"/>
      <c r="H36" s="28"/>
      <c r="I36" s="28"/>
      <c r="J36" s="28"/>
      <c r="K36" s="28"/>
      <c r="L36" s="28"/>
      <c r="M36" s="28"/>
      <c r="N36" s="28"/>
      <c r="O36"/>
    </row>
    <row r="37" spans="2:15" ht="18" customHeight="1">
      <c r="B37" s="144"/>
      <c r="C37" s="28"/>
      <c r="D37" s="28"/>
      <c r="E37" s="28"/>
      <c r="F37" s="28"/>
      <c r="G37" s="28"/>
      <c r="H37" s="28"/>
      <c r="I37" s="28"/>
      <c r="J37" s="28"/>
      <c r="K37" s="28"/>
      <c r="L37" s="28"/>
      <c r="M37" s="28"/>
      <c r="N37" s="28"/>
      <c r="O37"/>
    </row>
    <row r="38" spans="2:15" ht="18" customHeight="1">
      <c r="B38" s="144"/>
      <c r="C38" s="28"/>
      <c r="D38" s="28"/>
      <c r="E38" s="28"/>
      <c r="F38" s="28"/>
      <c r="G38" s="28"/>
      <c r="H38" s="28"/>
      <c r="I38" s="28"/>
      <c r="J38" s="28"/>
      <c r="K38" s="28"/>
      <c r="L38" s="28"/>
      <c r="M38" s="28"/>
      <c r="N38" s="28"/>
      <c r="O38"/>
    </row>
    <row r="39" spans="2:15" ht="18" customHeight="1">
      <c r="B39"/>
      <c r="C39" s="28"/>
      <c r="D39" s="28"/>
      <c r="E39" s="28"/>
      <c r="F39" s="28"/>
      <c r="G39" s="28"/>
      <c r="H39" s="28"/>
      <c r="I39" s="28"/>
      <c r="J39" s="28"/>
      <c r="K39" s="28"/>
      <c r="L39" s="28"/>
      <c r="M39" s="28"/>
      <c r="N39" s="28"/>
      <c r="O39"/>
    </row>
    <row r="40" spans="2:15" ht="18" customHeight="1">
      <c r="B40"/>
      <c r="C40" s="28"/>
      <c r="D40" s="28"/>
      <c r="E40" s="28"/>
      <c r="F40" s="28"/>
      <c r="G40" s="28"/>
      <c r="H40" s="28"/>
      <c r="I40" s="28"/>
      <c r="J40" s="28"/>
      <c r="K40" s="28"/>
      <c r="L40" s="28"/>
      <c r="M40" s="28"/>
      <c r="N40" s="28"/>
      <c r="O40"/>
    </row>
    <row r="41" spans="2:15" ht="18" customHeight="1">
      <c r="B41"/>
      <c r="C41" s="28"/>
      <c r="D41" s="28"/>
      <c r="E41" s="28"/>
      <c r="F41" s="28"/>
      <c r="G41" s="28"/>
      <c r="H41" s="28"/>
      <c r="I41" s="28"/>
      <c r="J41" s="28"/>
      <c r="K41" s="28"/>
      <c r="L41" s="28"/>
      <c r="M41" s="28"/>
      <c r="N41" s="28"/>
      <c r="O41"/>
    </row>
    <row r="42" spans="2:15" ht="18" customHeight="1">
      <c r="B42"/>
      <c r="C42" s="28"/>
      <c r="D42" s="28"/>
      <c r="E42" s="28"/>
      <c r="F42" s="28"/>
      <c r="G42" s="28"/>
      <c r="H42" s="28"/>
      <c r="I42" s="28"/>
      <c r="J42" s="28"/>
      <c r="K42" s="28"/>
      <c r="L42" s="28"/>
      <c r="M42" s="28"/>
      <c r="N42" s="28"/>
      <c r="O42"/>
    </row>
    <row r="43" spans="2:15" ht="18" customHeight="1">
      <c r="B43"/>
      <c r="C43" s="28"/>
      <c r="D43" s="28"/>
      <c r="E43" s="28"/>
      <c r="F43" s="28"/>
      <c r="G43" s="28"/>
      <c r="H43" s="28"/>
      <c r="I43" s="28"/>
      <c r="J43" s="28"/>
      <c r="K43" s="28"/>
      <c r="L43" s="28"/>
      <c r="M43" s="28"/>
      <c r="N43" s="28"/>
      <c r="O43"/>
    </row>
    <row r="44" spans="2:15" ht="18" customHeight="1">
      <c r="B44"/>
      <c r="C44" s="28"/>
      <c r="D44" s="28"/>
      <c r="E44" s="28"/>
      <c r="F44" s="28"/>
      <c r="G44" s="28"/>
      <c r="H44" s="28"/>
      <c r="I44" s="28"/>
      <c r="J44" s="28"/>
      <c r="K44" s="28"/>
      <c r="L44" s="28"/>
      <c r="M44" s="28"/>
      <c r="N44" s="28"/>
      <c r="O44"/>
    </row>
    <row r="45" spans="2:15" ht="18" customHeight="1">
      <c r="B45"/>
      <c r="C45" s="28"/>
      <c r="D45" s="28"/>
      <c r="E45" s="28"/>
      <c r="F45" s="28"/>
      <c r="G45" s="28"/>
      <c r="H45" s="28"/>
      <c r="I45" s="28"/>
      <c r="J45" s="28"/>
      <c r="K45" s="28"/>
      <c r="L45" s="28"/>
      <c r="M45" s="28"/>
      <c r="N45" s="28"/>
      <c r="O45"/>
    </row>
    <row r="46" spans="2:15" ht="18" customHeight="1">
      <c r="B46"/>
      <c r="C46" s="28"/>
      <c r="D46" s="28"/>
      <c r="E46" s="28"/>
      <c r="F46" s="28"/>
      <c r="G46" s="28"/>
      <c r="H46" s="28"/>
      <c r="I46" s="28"/>
      <c r="J46" s="28"/>
      <c r="K46" s="28"/>
      <c r="L46" s="28"/>
      <c r="M46" s="28"/>
      <c r="N46" s="28"/>
      <c r="O46"/>
    </row>
    <row r="47" spans="2:15" ht="18" customHeight="1">
      <c r="B47"/>
      <c r="C47" s="28"/>
      <c r="D47" s="28"/>
      <c r="E47" s="28"/>
      <c r="F47" s="28"/>
      <c r="G47" s="28"/>
      <c r="H47" s="28"/>
      <c r="I47" s="28"/>
      <c r="J47" s="28"/>
      <c r="K47" s="28"/>
      <c r="L47" s="28"/>
      <c r="M47" s="28"/>
      <c r="N47" s="28"/>
      <c r="O47"/>
    </row>
    <row r="48" spans="2:15" ht="18" customHeight="1">
      <c r="B48"/>
      <c r="C48" s="28"/>
      <c r="D48" s="28"/>
      <c r="E48" s="28"/>
      <c r="F48" s="28"/>
      <c r="G48" s="28"/>
      <c r="H48" s="28"/>
      <c r="I48" s="28"/>
      <c r="J48" s="28"/>
      <c r="K48" s="28"/>
      <c r="L48" s="28"/>
      <c r="M48" s="28"/>
      <c r="N48" s="28"/>
      <c r="O48"/>
    </row>
    <row r="49" spans="2:15" ht="18" customHeight="1">
      <c r="B49"/>
      <c r="C49" s="28"/>
      <c r="D49" s="28"/>
      <c r="E49" s="28"/>
      <c r="F49" s="28"/>
      <c r="G49" s="28"/>
      <c r="H49" s="28"/>
      <c r="I49" s="28"/>
      <c r="J49" s="28"/>
      <c r="K49" s="28"/>
      <c r="L49" s="28"/>
      <c r="M49" s="28"/>
      <c r="N49" s="28"/>
      <c r="O49"/>
    </row>
    <row r="50" spans="2:15" ht="18" customHeight="1">
      <c r="B50"/>
      <c r="C50" s="28"/>
      <c r="D50" s="28"/>
      <c r="E50" s="28"/>
      <c r="F50" s="28"/>
      <c r="G50" s="28"/>
      <c r="H50" s="28"/>
      <c r="I50" s="28"/>
      <c r="J50" s="28"/>
      <c r="K50" s="28"/>
      <c r="L50" s="28"/>
      <c r="M50" s="28"/>
      <c r="N50" s="28"/>
      <c r="O50"/>
    </row>
    <row r="51" spans="2:15" ht="18" customHeight="1">
      <c r="B51"/>
      <c r="C51" s="28"/>
      <c r="D51" s="28"/>
      <c r="E51" s="28"/>
      <c r="F51" s="28"/>
      <c r="G51" s="28"/>
      <c r="H51" s="28"/>
      <c r="I51" s="28"/>
      <c r="J51" s="28"/>
      <c r="K51" s="28"/>
      <c r="L51" s="28"/>
      <c r="M51" s="28"/>
      <c r="N51" s="28"/>
      <c r="O51"/>
    </row>
    <row r="52" spans="2:15" ht="18" customHeight="1">
      <c r="B52"/>
      <c r="C52" s="28"/>
      <c r="D52" s="28"/>
      <c r="E52" s="28"/>
      <c r="F52" s="28"/>
      <c r="G52" s="28"/>
      <c r="H52" s="28"/>
      <c r="I52" s="28"/>
      <c r="J52" s="28"/>
      <c r="K52" s="28"/>
      <c r="L52" s="28"/>
      <c r="M52" s="28"/>
      <c r="N52" s="28"/>
      <c r="O52"/>
    </row>
    <row r="53" spans="2:15" ht="18" customHeight="1">
      <c r="B53"/>
      <c r="C53" s="28"/>
      <c r="D53" s="28"/>
      <c r="E53" s="28"/>
      <c r="F53" s="28"/>
      <c r="G53" s="28"/>
      <c r="H53" s="28"/>
      <c r="I53" s="28"/>
      <c r="J53" s="28"/>
      <c r="K53" s="28"/>
      <c r="L53" s="28"/>
      <c r="M53" s="28"/>
      <c r="N53" s="28"/>
      <c r="O53"/>
    </row>
    <row r="54" spans="2:15" ht="18" customHeight="1">
      <c r="B54"/>
      <c r="C54" s="28"/>
      <c r="D54" s="28"/>
      <c r="E54" s="28"/>
      <c r="F54" s="28"/>
      <c r="G54" s="28"/>
      <c r="H54" s="28"/>
      <c r="I54" s="28"/>
      <c r="J54" s="28"/>
      <c r="K54" s="28"/>
      <c r="L54" s="28"/>
      <c r="M54" s="28"/>
      <c r="N54" s="28"/>
      <c r="O54"/>
    </row>
    <row r="55" spans="2:15" ht="18" customHeight="1">
      <c r="B55"/>
      <c r="C55"/>
      <c r="D55"/>
      <c r="E55"/>
      <c r="F55"/>
      <c r="G55"/>
      <c r="H55"/>
      <c r="I55"/>
      <c r="J55"/>
      <c r="K55"/>
      <c r="L55"/>
      <c r="M55"/>
      <c r="N55"/>
      <c r="O55"/>
    </row>
    <row r="56" spans="2:15" ht="18" customHeight="1">
      <c r="B56"/>
      <c r="C56"/>
      <c r="D56"/>
      <c r="E56"/>
      <c r="F56"/>
      <c r="G56"/>
      <c r="H56"/>
      <c r="I56"/>
      <c r="J56"/>
      <c r="K56"/>
      <c r="L56"/>
      <c r="M56"/>
      <c r="N56"/>
      <c r="O56"/>
    </row>
    <row r="57" spans="2:15" ht="18" customHeight="1">
      <c r="B57"/>
      <c r="C57"/>
      <c r="D57"/>
      <c r="E57"/>
      <c r="F57"/>
      <c r="G57"/>
      <c r="H57"/>
      <c r="I57"/>
      <c r="J57"/>
      <c r="K57"/>
      <c r="L57"/>
      <c r="M57"/>
      <c r="N57"/>
      <c r="O57"/>
    </row>
    <row r="58" spans="2:15" ht="18" customHeight="1">
      <c r="B58"/>
      <c r="C58"/>
      <c r="D58"/>
      <c r="E58"/>
      <c r="F58"/>
      <c r="G58"/>
      <c r="H58"/>
      <c r="I58"/>
      <c r="J58"/>
      <c r="K58"/>
      <c r="L58"/>
      <c r="M58"/>
      <c r="N58"/>
      <c r="O58"/>
    </row>
    <row r="59" spans="2:15" ht="18" customHeight="1">
      <c r="B59"/>
      <c r="C59"/>
      <c r="D59"/>
      <c r="E59"/>
      <c r="F59"/>
      <c r="G59"/>
      <c r="H59"/>
      <c r="I59"/>
      <c r="J59"/>
      <c r="K59"/>
      <c r="L59"/>
      <c r="M59"/>
      <c r="N59"/>
      <c r="O59"/>
    </row>
    <row r="60" spans="2:15" ht="18" customHeight="1">
      <c r="B60"/>
      <c r="C60"/>
      <c r="D60"/>
      <c r="E60"/>
      <c r="F60"/>
      <c r="G60"/>
      <c r="H60"/>
      <c r="I60"/>
      <c r="J60"/>
      <c r="K60"/>
      <c r="L60"/>
      <c r="M60"/>
      <c r="N60"/>
      <c r="O60"/>
    </row>
    <row r="61" spans="2:15" ht="18" customHeight="1">
      <c r="B61"/>
      <c r="C61"/>
      <c r="D61"/>
      <c r="E61"/>
      <c r="F61"/>
      <c r="G61"/>
      <c r="H61"/>
      <c r="I61"/>
      <c r="J61"/>
      <c r="K61"/>
      <c r="L61"/>
      <c r="M61"/>
      <c r="N61"/>
      <c r="O61"/>
    </row>
    <row r="62" spans="2:15" ht="18" customHeight="1">
      <c r="B62"/>
      <c r="C62"/>
      <c r="D62"/>
      <c r="E62"/>
      <c r="F62"/>
      <c r="G62"/>
      <c r="H62"/>
      <c r="I62"/>
      <c r="J62"/>
      <c r="K62"/>
      <c r="L62"/>
      <c r="M62"/>
      <c r="N62"/>
      <c r="O62"/>
    </row>
    <row r="63" spans="2:15">
      <c r="B63"/>
      <c r="C63"/>
      <c r="D63"/>
      <c r="E63"/>
      <c r="F63"/>
      <c r="G63"/>
      <c r="H63"/>
      <c r="I63"/>
      <c r="J63"/>
      <c r="K63"/>
      <c r="L63"/>
      <c r="M63"/>
      <c r="N63"/>
      <c r="O63"/>
    </row>
    <row r="64" spans="2:15">
      <c r="B64"/>
      <c r="C64"/>
      <c r="D64"/>
      <c r="E64"/>
      <c r="F64"/>
      <c r="G64"/>
      <c r="H64"/>
      <c r="I64"/>
      <c r="J64"/>
      <c r="K64"/>
      <c r="L64"/>
      <c r="M64"/>
      <c r="N64"/>
      <c r="O64"/>
    </row>
    <row r="65" spans="2:11">
      <c r="B65" s="135"/>
      <c r="C65" s="141"/>
      <c r="D65" s="141"/>
      <c r="E65" s="141"/>
      <c r="F65" s="141"/>
      <c r="G65" s="141"/>
      <c r="H65" s="141"/>
      <c r="I65" s="141"/>
      <c r="J65" s="141"/>
      <c r="K65" s="141"/>
    </row>
    <row r="66" spans="2:11">
      <c r="B66" s="135"/>
      <c r="C66" s="141"/>
      <c r="D66" s="141"/>
      <c r="E66" s="141"/>
      <c r="F66" s="141"/>
      <c r="G66" s="141"/>
      <c r="H66" s="141"/>
      <c r="I66" s="141"/>
      <c r="J66" s="141"/>
      <c r="K66" s="141"/>
    </row>
    <row r="67" spans="2:11">
      <c r="B67" s="135"/>
      <c r="C67" s="141"/>
      <c r="D67" s="141"/>
      <c r="E67" s="141"/>
      <c r="F67" s="141"/>
      <c r="G67" s="141"/>
      <c r="H67" s="141"/>
      <c r="I67" s="141"/>
      <c r="J67" s="141"/>
      <c r="K67" s="141"/>
    </row>
    <row r="68" spans="2:11">
      <c r="B68" s="135"/>
      <c r="C68" s="141"/>
      <c r="D68" s="141"/>
      <c r="E68" s="141"/>
      <c r="F68" s="141"/>
      <c r="G68" s="141"/>
      <c r="H68" s="141"/>
      <c r="I68" s="141"/>
      <c r="J68" s="141"/>
      <c r="K68" s="141"/>
    </row>
    <row r="69" spans="2:11">
      <c r="C69" s="141"/>
      <c r="D69" s="141"/>
      <c r="E69" s="141"/>
      <c r="F69" s="141"/>
      <c r="G69" s="141"/>
      <c r="H69" s="141"/>
      <c r="I69" s="141"/>
      <c r="J69" s="141"/>
      <c r="K69" s="141"/>
    </row>
  </sheetData>
  <sheetProtection algorithmName="SHA-512" hashValue="12UGAKuZ7hybjOtjGVmu0/aqg5ifQyxR0/UmWjUKUnx5MdITzs+Q94vUxd7o8amwk9EG4k08DivmsG5jLZnokw==" saltValue="2EO9UJ2bj5CORGDu4KVbTQ==" spinCount="100000" sheet="1" objects="1" scenarios="1"/>
  <mergeCells count="1">
    <mergeCell ref="B32:B35"/>
  </mergeCells>
  <phoneticPr fontId="42" type="noConversion"/>
  <conditionalFormatting sqref="C3:N26">
    <cfRule type="cellIs" dxfId="155" priority="2" operator="between">
      <formula>1</formula>
      <formula>10</formula>
    </cfRule>
    <cfRule type="cellIs" dxfId="154" priority="3" operator="equal">
      <formula>"Pendiente"</formula>
    </cfRule>
  </conditionalFormatting>
  <dataValidations count="1">
    <dataValidation type="list" allowBlank="1" showInputMessage="1" showErrorMessage="1" sqref="B32" xr:uid="{4D82ACA9-A314-4829-8E87-1815E756BFB4}">
      <formula1>$B$3:$B$26</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6875-C4A0-4C63-B65E-B40BD2891EBB}">
  <sheetPr codeName="Hoja5">
    <tabColor rgb="FF002060"/>
  </sheetPr>
  <dimension ref="B1:AQ42"/>
  <sheetViews>
    <sheetView showGridLines="0" tabSelected="1" topLeftCell="A14" zoomScale="115" zoomScaleNormal="115" workbookViewId="0">
      <selection activeCell="K51" sqref="K51"/>
    </sheetView>
  </sheetViews>
  <sheetFormatPr defaultColWidth="11" defaultRowHeight="16.5"/>
  <cols>
    <col min="1" max="1" width="4.25" style="13" customWidth="1"/>
    <col min="2" max="5" width="8" style="13" hidden="1" customWidth="1"/>
    <col min="6" max="6" width="9.125" style="61" customWidth="1"/>
    <col min="7" max="7" width="9.375" style="13" customWidth="1"/>
    <col min="8" max="8" width="38" style="164" customWidth="1"/>
    <col min="9" max="11" width="9.625" style="163" customWidth="1"/>
    <col min="12" max="12" width="11.625" style="13" hidden="1" customWidth="1"/>
    <col min="13" max="13" width="11.75" style="13" customWidth="1"/>
    <col min="14" max="14" width="10.25" style="162" customWidth="1"/>
    <col min="15" max="15" width="9.75" style="61" customWidth="1"/>
    <col min="16" max="16" width="23.875" style="13" customWidth="1"/>
    <col min="17" max="17" width="9.75" style="13" customWidth="1"/>
    <col min="18" max="19" width="9.75" style="161" customWidth="1"/>
    <col min="20" max="24" width="9.75" style="61" hidden="1" customWidth="1"/>
    <col min="25" max="25" width="11" hidden="1" customWidth="1"/>
    <col min="26" max="39" width="9.625" style="13" hidden="1" customWidth="1"/>
    <col min="40" max="40" width="12.125" style="13" hidden="1" customWidth="1"/>
    <col min="41" max="41" width="9.625" style="13" hidden="1" customWidth="1"/>
    <col min="42" max="42" width="19.875" style="13" hidden="1" customWidth="1"/>
    <col min="43" max="43" width="17.25" customWidth="1"/>
    <col min="44" max="16384" width="11" style="13"/>
  </cols>
  <sheetData>
    <row r="1" spans="2:43" ht="42">
      <c r="B1" s="1" t="s">
        <v>183</v>
      </c>
      <c r="C1" s="1" t="s">
        <v>6</v>
      </c>
      <c r="D1" s="1" t="s">
        <v>184</v>
      </c>
      <c r="E1" s="1" t="s">
        <v>185</v>
      </c>
      <c r="F1" s="2" t="s">
        <v>123</v>
      </c>
      <c r="G1" s="3" t="s">
        <v>124</v>
      </c>
      <c r="H1" s="3" t="s">
        <v>125</v>
      </c>
      <c r="I1" s="1" t="s">
        <v>126</v>
      </c>
      <c r="J1" s="1" t="s">
        <v>127</v>
      </c>
      <c r="K1" s="64" t="s">
        <v>186</v>
      </c>
      <c r="L1" s="1" t="s">
        <v>187</v>
      </c>
      <c r="M1" s="3" t="s">
        <v>116</v>
      </c>
      <c r="N1" s="3" t="s">
        <v>188</v>
      </c>
      <c r="O1" s="167" t="s">
        <v>189</v>
      </c>
      <c r="P1" s="3" t="s">
        <v>190</v>
      </c>
      <c r="Q1" s="70" t="s">
        <v>191</v>
      </c>
      <c r="R1" s="95" t="s">
        <v>192</v>
      </c>
      <c r="S1" s="95" t="s">
        <v>193</v>
      </c>
      <c r="T1" s="3" t="s">
        <v>194</v>
      </c>
      <c r="U1" s="3" t="s">
        <v>195</v>
      </c>
      <c r="V1" s="3" t="s">
        <v>196</v>
      </c>
      <c r="W1" s="3" t="s">
        <v>197</v>
      </c>
      <c r="X1" s="3" t="s">
        <v>198</v>
      </c>
      <c r="Y1" s="4" t="s">
        <v>199</v>
      </c>
      <c r="Z1" s="4" t="s">
        <v>200</v>
      </c>
      <c r="AA1" s="3" t="s">
        <v>201</v>
      </c>
      <c r="AB1" s="3" t="s">
        <v>202</v>
      </c>
      <c r="AC1" s="3" t="s">
        <v>203</v>
      </c>
      <c r="AD1" s="3" t="s">
        <v>204</v>
      </c>
      <c r="AE1" s="3" t="s">
        <v>205</v>
      </c>
      <c r="AF1" s="3" t="s">
        <v>206</v>
      </c>
      <c r="AG1" s="3" t="s">
        <v>207</v>
      </c>
      <c r="AH1" s="3" t="s">
        <v>208</v>
      </c>
      <c r="AI1" s="3" t="s">
        <v>209</v>
      </c>
      <c r="AJ1" s="3" t="s">
        <v>210</v>
      </c>
      <c r="AK1" s="3" t="s">
        <v>211</v>
      </c>
      <c r="AL1" s="3" t="s">
        <v>212</v>
      </c>
      <c r="AM1" s="3" t="s">
        <v>213</v>
      </c>
      <c r="AN1" s="3" t="s">
        <v>214</v>
      </c>
      <c r="AO1" s="166" t="s">
        <v>215</v>
      </c>
      <c r="AQ1" s="13"/>
    </row>
    <row r="2" spans="2:43">
      <c r="B2" s="14" t="str">
        <f>IF(MEJORAS[[#This Row],[FECHA DE APERTURA]]="","",YEAR(MEJORAS[[#This Row],[FECHA DE APERTURA]]))</f>
        <v/>
      </c>
      <c r="C2" s="14"/>
      <c r="D2" s="14" t="e">
        <f t="shared" ref="D2:D42" si="0">IF(YEAR(G2)=YEAR(G1),D1+1,1)</f>
        <v>#VALUE!</v>
      </c>
      <c r="E2" s="14"/>
      <c r="F2" s="15" t="str">
        <f>IF(MEJORAS[[#This Row],[FECHA DE APERTURA]]="","",IF(MEJORAS[[#This Row],[Columna1]]="","OM#"&amp;MEJORAS[[#This Row],[MES]]&amp;"\"&amp;YEAR(MEJORAS[[#This Row],[FECHA DE APERTURA]]),MEJORAS[[#This Row],[Columna1]]))</f>
        <v/>
      </c>
      <c r="G2" s="17"/>
      <c r="H2" s="117">
        <v>2024</v>
      </c>
      <c r="I2" s="60"/>
      <c r="J2" s="60"/>
      <c r="K2" s="60"/>
      <c r="L2" s="19"/>
      <c r="M2" s="20"/>
      <c r="N2" s="57"/>
      <c r="O2" s="165"/>
      <c r="P2" s="18"/>
      <c r="Q2" s="21"/>
      <c r="R2" s="17"/>
      <c r="S2" s="17"/>
      <c r="T2" s="72" t="str">
        <f>IF(MEJORAS[[#This Row],[Fecha Recibido]]="","",IF(NETWORKDAYS(MEJORAS[[#This Row],[Fecha entrega]],MEJORAS[[#This Row],[Fecha Recibido]])&lt;=5,1,0))</f>
        <v/>
      </c>
      <c r="U2" s="72" t="str">
        <f>IF(MEJORAS[[#This Row],[Fecha entrega]]="","",TEXT(MEJORAS[[#This Row],[Fecha entrega]],"MMMM"))</f>
        <v/>
      </c>
      <c r="V2" s="72" t="str">
        <f>IF(MEJORAS[[#This Row],[Fecha entrega]]="","",YEAR(MEJORAS[[#This Row],[Fecha entrega]]))</f>
        <v/>
      </c>
      <c r="W2" s="14" t="str">
        <f>IF(MEJORAS[[#This Row],[Fecha Recibido]]="","",TEXT(MEJORAS[[#This Row],[Fecha Recibido]],"mmmm"))</f>
        <v/>
      </c>
      <c r="X2" s="14" t="str">
        <f>IF(MEJORAS[[#This Row],[Fecha Recibido]]="","",YEAR(MEJORAS[[#This Row],[Fecha Recibido]]))</f>
        <v/>
      </c>
      <c r="Y2" s="14" t="str">
        <f>_xlfn.CONCAT(MEJORAS[[#This Row],[ÁREA]],MEJORAS[[#This Row],[ORIGEN]])</f>
        <v/>
      </c>
      <c r="Z2" s="14" t="str">
        <f>_xlfn.CONCAT(MEJORAS[[#This Row],[ÁREA]],MEJORAS[[#This Row],[ESTATUS]])</f>
        <v/>
      </c>
      <c r="AA2" s="14"/>
      <c r="AB2" s="14" t="str">
        <f ca="1">IFERROR(IF(MEJORAS[[#This Row],[FECHA DE CIERRE]]&gt;TODAY(),1,""),"")</f>
        <v/>
      </c>
      <c r="AC2" s="14" t="str">
        <f ca="1">IFERROR(IF(MEJORAS[[#This Row],[REPLANTEO '#1]]&gt;TODAY(),1,""),"")</f>
        <v/>
      </c>
      <c r="AD2" s="14" t="str">
        <f ca="1">IFERROR(IF(MEJORAS[[#This Row],[REPLANTEO '#2 "Formato de replanteo"]]&gt;TODAY(),1,""),"")</f>
        <v/>
      </c>
      <c r="AE2" s="14" t="str">
        <f ca="1">IFERROR(IF(MEJORAS[[#This Row],[REPLANTEO '#3]]&gt;TODAY(),1,""),"")</f>
        <v/>
      </c>
      <c r="AF2" s="14" t="str">
        <f>IFERROR(IF(MEJORAS[[#This Row],[ESTATUS]]="CIERRE",1,""),"")</f>
        <v/>
      </c>
      <c r="AG2" s="14" t="str">
        <f>IFERROR(IF(MEJORAS[[#This Row],[ESTATUS]]="CERRADA",1,""),"")</f>
        <v/>
      </c>
      <c r="AH2" s="14">
        <f ca="1">COUNT(MEJORAS[[#This Row],[CÓDIGO 4 EN FECHA DE CIERRE ]:[CÓDIGO 9 ESTATUS CERRADA]])</f>
        <v>0</v>
      </c>
      <c r="AI2" s="14" t="str" cm="1">
        <f t="array" aca="1" ref="AI2"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 s="14" t="str" cm="1">
        <f t="array" aca="1" ref="AJ2"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 s="14" t="str" cm="1">
        <f t="array" aca="1" ref="AK2"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 s="14" t="str" cm="1">
        <f t="array" aca="1" ref="AL2"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 s="14" t="b">
        <f ca="1">IFERROR(COUNTIF(MEJORAS[[#This Row],[CÓDIGO 11 POR VENCER FECHA CIERRE]:[CÓDIGO 14 FUERA DE REPLANTEO 3]],3)=1," ")</f>
        <v>0</v>
      </c>
      <c r="AN2" s="14">
        <f>_xlfn.XLOOKUP(MEJORAS[[#This Row],[ÁREA]],AREAS[Área],AREAS[Dirección],,0)</f>
        <v>0</v>
      </c>
      <c r="AO2" s="71">
        <v>1</v>
      </c>
    </row>
    <row r="3" spans="2:43" ht="42">
      <c r="B3" s="14">
        <f>IF(MEJORAS[[#This Row],[FECHA DE APERTURA]]="","",YEAR(MEJORAS[[#This Row],[FECHA DE APERTURA]]))</f>
        <v>2024</v>
      </c>
      <c r="C3" s="14" t="s">
        <v>216</v>
      </c>
      <c r="D3" s="14">
        <f t="shared" si="0"/>
        <v>1</v>
      </c>
      <c r="E3" s="14"/>
      <c r="F3" s="15" t="str">
        <f>IF(MEJORAS[[#This Row],[FECHA DE APERTURA]]="","",IF(MEJORAS[[#This Row],[Columna1]]="","OM#"&amp;MEJORAS[[#This Row],[MES]]&amp;"\"&amp;YEAR(MEJORAS[[#This Row],[FECHA DE APERTURA]]),MEJORAS[[#This Row],[Columna1]]))</f>
        <v>OM#2\2024</v>
      </c>
      <c r="G3" s="17">
        <v>45323</v>
      </c>
      <c r="H3" s="18" t="s">
        <v>217</v>
      </c>
      <c r="I3" s="60">
        <v>45473</v>
      </c>
      <c r="J3" s="60">
        <v>45546</v>
      </c>
      <c r="K3" s="60">
        <v>45648</v>
      </c>
      <c r="L3" s="19"/>
      <c r="M3" s="58" t="s">
        <v>15</v>
      </c>
      <c r="N3" s="57" t="s">
        <v>218</v>
      </c>
      <c r="O3" s="165" t="s">
        <v>219</v>
      </c>
      <c r="P3" s="18"/>
      <c r="Q3" s="21"/>
      <c r="R3" s="17"/>
      <c r="S3" s="17"/>
      <c r="T3" s="14" t="str">
        <f>IF(MEJORAS[[#This Row],[Fecha Recibido]]="","",IF(NETWORKDAYS(MEJORAS[[#This Row],[Fecha entrega]],MEJORAS[[#This Row],[Fecha Recibido]])&lt;=5,1,0))</f>
        <v/>
      </c>
      <c r="U3" s="14" t="str">
        <f>IF(MEJORAS[[#This Row],[Fecha entrega]]="","",TEXT(MEJORAS[[#This Row],[Fecha entrega]],"MMMM"))</f>
        <v/>
      </c>
      <c r="V3" s="14" t="str">
        <f>IF(MEJORAS[[#This Row],[Fecha entrega]]="","",YEAR(MEJORAS[[#This Row],[Fecha entrega]]))</f>
        <v/>
      </c>
      <c r="W3" s="14" t="str">
        <f>IF(MEJORAS[[#This Row],[Fecha Recibido]]="","",TEXT(MEJORAS[[#This Row],[Fecha Recibido]],"mmmm"))</f>
        <v/>
      </c>
      <c r="X3" s="14" t="str">
        <f>IF(MEJORAS[[#This Row],[Fecha Recibido]]="","",YEAR(MEJORAS[[#This Row],[Fecha Recibido]]))</f>
        <v/>
      </c>
      <c r="Y3" s="14" t="str">
        <f>_xlfn.CONCAT(MEJORAS[[#This Row],[ÁREA]],MEJORAS[[#This Row],[ORIGEN]])</f>
        <v>Comunicación e Imagen Institucional1-24</v>
      </c>
      <c r="Z3" s="14" t="str">
        <f>_xlfn.CONCAT(MEJORAS[[#This Row],[ÁREA]],MEJORAS[[#This Row],[ESTATUS]])</f>
        <v>Comunicación e Imagen InstitucionalCerrada</v>
      </c>
      <c r="AA3" s="14"/>
      <c r="AB3" s="14" t="str">
        <f ca="1">IFERROR(IF(MEJORAS[[#This Row],[FECHA DE CIERRE]]&gt;TODAY(),1,""),"")</f>
        <v/>
      </c>
      <c r="AC3" s="14" t="str">
        <f ca="1">IFERROR(IF(MEJORAS[[#This Row],[REPLANTEO '#1]]&gt;TODAY(),1,""),"")</f>
        <v/>
      </c>
      <c r="AD3" s="14" t="str">
        <f ca="1">IFERROR(IF(MEJORAS[[#This Row],[REPLANTEO '#2 "Formato de replanteo"]]&gt;TODAY(),1,""),"")</f>
        <v/>
      </c>
      <c r="AE3" s="14" t="str">
        <f ca="1">IFERROR(IF(MEJORAS[[#This Row],[REPLANTEO '#3]]&gt;TODAY(),1,""),"")</f>
        <v/>
      </c>
      <c r="AF3" s="14" t="str">
        <f>IFERROR(IF(MEJORAS[[#This Row],[ESTATUS]]="CIERRE",1,""),"")</f>
        <v/>
      </c>
      <c r="AG3" s="14">
        <f>IFERROR(IF(MEJORAS[[#This Row],[ESTATUS]]="CERRADA",1,""),"")</f>
        <v>1</v>
      </c>
      <c r="AH3" s="14">
        <f ca="1">COUNT(MEJORAS[[#This Row],[CÓDIGO 4 EN FECHA DE CIERRE ]:[CÓDIGO 9 ESTATUS CERRADA]])</f>
        <v>1</v>
      </c>
      <c r="AI3" s="14" t="str" cm="1">
        <f t="array" aca="1" ref="AI3"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 s="14" t="str" cm="1">
        <f t="array" aca="1" ref="AJ3"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 s="14" t="str" cm="1">
        <f t="array" aca="1" ref="AK3"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 s="14" t="str" cm="1">
        <f t="array" aca="1" ref="AL3"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 s="14" t="b">
        <f ca="1">IFERROR(COUNTIF(MEJORAS[[#This Row],[CÓDIGO 11 POR VENCER FECHA CIERRE]:[CÓDIGO 14 FUERA DE REPLANTEO 3]],3)=1," ")</f>
        <v>0</v>
      </c>
      <c r="AN3" s="14" t="str">
        <f>_xlfn.XLOOKUP(MEJORAS[[#This Row],[ÁREA]],AREAS[Área],AREAS[Dirección],,0)</f>
        <v>ADMINISTRATIVA</v>
      </c>
      <c r="AO3" s="71">
        <f t="shared" ref="AO3:AO39" si="1">AO2+1</f>
        <v>2</v>
      </c>
    </row>
    <row r="4" spans="2:43" ht="31.5">
      <c r="B4" s="14">
        <f>IF(MEJORAS[[#This Row],[FECHA DE APERTURA]]="","",YEAR(MEJORAS[[#This Row],[FECHA DE APERTURA]]))</f>
        <v>2024</v>
      </c>
      <c r="C4" s="14" t="s">
        <v>220</v>
      </c>
      <c r="D4" s="14">
        <f t="shared" si="0"/>
        <v>2</v>
      </c>
      <c r="E4" s="14"/>
      <c r="F4" s="15" t="str">
        <f>IF(MEJORAS[[#This Row],[FECHA DE APERTURA]]="","",IF(MEJORAS[[#This Row],[Columna1]]="","OM#"&amp;MEJORAS[[#This Row],[MES]]&amp;"\"&amp;YEAR(MEJORAS[[#This Row],[FECHA DE APERTURA]]),MEJORAS[[#This Row],[Columna1]]))</f>
        <v>OM#47\2024</v>
      </c>
      <c r="G4" s="17">
        <v>45426</v>
      </c>
      <c r="H4" s="18" t="s">
        <v>221</v>
      </c>
      <c r="I4" s="60">
        <v>45595</v>
      </c>
      <c r="J4" s="60">
        <v>45797</v>
      </c>
      <c r="K4" s="60">
        <v>45930</v>
      </c>
      <c r="L4" s="19"/>
      <c r="M4" s="58" t="s">
        <v>75</v>
      </c>
      <c r="N4" s="57" t="s">
        <v>218</v>
      </c>
      <c r="O4" s="165" t="s">
        <v>222</v>
      </c>
      <c r="P4" s="18"/>
      <c r="Q4" s="21" t="s">
        <v>168</v>
      </c>
      <c r="R4" s="17">
        <v>45911</v>
      </c>
      <c r="S4" s="17">
        <v>45918</v>
      </c>
      <c r="T4" s="72">
        <f>IF(MEJORAS[[#This Row],[Fecha Recibido]]="","",IF(NETWORKDAYS(MEJORAS[[#This Row],[Fecha entrega]],MEJORAS[[#This Row],[Fecha Recibido]])&lt;=5,1,0))</f>
        <v>0</v>
      </c>
      <c r="U4" s="72" t="str">
        <f>IF(MEJORAS[[#This Row],[Fecha entrega]]="","",TEXT(MEJORAS[[#This Row],[Fecha entrega]],"MMMM"))</f>
        <v>septiembre</v>
      </c>
      <c r="V4" s="72">
        <f>IF(MEJORAS[[#This Row],[Fecha entrega]]="","",YEAR(MEJORAS[[#This Row],[Fecha entrega]]))</f>
        <v>2025</v>
      </c>
      <c r="W4" s="72" t="str">
        <f>IF(MEJORAS[[#This Row],[Fecha Recibido]]="","",TEXT(MEJORAS[[#This Row],[Fecha Recibido]],"mmmm"))</f>
        <v>septiembre</v>
      </c>
      <c r="X4" s="72">
        <f>IF(MEJORAS[[#This Row],[Fecha Recibido]]="","",YEAR(MEJORAS[[#This Row],[Fecha Recibido]]))</f>
        <v>2025</v>
      </c>
      <c r="Y4" s="14" t="str">
        <f>_xlfn.CONCAT(MEJORAS[[#This Row],[ÁREA]],MEJORAS[[#This Row],[ORIGEN]])</f>
        <v>Recursos Humanos2-24</v>
      </c>
      <c r="Z4" s="14" t="str">
        <f>_xlfn.CONCAT(MEJORAS[[#This Row],[ÁREA]],MEJORAS[[#This Row],[ESTATUS]])</f>
        <v>Recursos HumanosCerrada</v>
      </c>
      <c r="AA4" s="14"/>
      <c r="AB4" s="14" t="str">
        <f ca="1">IFERROR(IF(MEJORAS[[#This Row],[FECHA DE CIERRE]]&gt;TODAY(),1,""),"")</f>
        <v/>
      </c>
      <c r="AC4" s="14" t="str">
        <f ca="1">IFERROR(IF(MEJORAS[[#This Row],[REPLANTEO '#1]]&gt;TODAY(),1,""),"")</f>
        <v/>
      </c>
      <c r="AD4" s="14" t="str">
        <f ca="1">IFERROR(IF(MEJORAS[[#This Row],[REPLANTEO '#2 "Formato de replanteo"]]&gt;TODAY(),1,""),"")</f>
        <v/>
      </c>
      <c r="AE4" s="14" t="str">
        <f ca="1">IFERROR(IF(MEJORAS[[#This Row],[REPLANTEO '#3]]&gt;TODAY(),1,""),"")</f>
        <v/>
      </c>
      <c r="AF4" s="14" t="str">
        <f>IFERROR(IF(MEJORAS[[#This Row],[ESTATUS]]="CIERRE",1,""),"")</f>
        <v/>
      </c>
      <c r="AG4" s="14">
        <f>IFERROR(IF(MEJORAS[[#This Row],[ESTATUS]]="CERRADA",1,""),"")</f>
        <v>1</v>
      </c>
      <c r="AH4" s="14">
        <f ca="1">COUNT(MEJORAS[[#This Row],[CÓDIGO 4 EN FECHA DE CIERRE ]:[CÓDIGO 9 ESTATUS CERRADA]])</f>
        <v>1</v>
      </c>
      <c r="AI4" s="14" t="str" cm="1">
        <f t="array" aca="1" ref="AI4"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4" s="14" t="str" cm="1">
        <f t="array" aca="1" ref="AJ4"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4" s="14" t="str" cm="1">
        <f t="array" aca="1" ref="AK4"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4" s="14" t="str" cm="1">
        <f t="array" aca="1" ref="AL4"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4" s="14" t="b">
        <f ca="1">IFERROR(COUNTIF(MEJORAS[[#This Row],[CÓDIGO 11 POR VENCER FECHA CIERRE]:[CÓDIGO 14 FUERA DE REPLANTEO 3]],3)=1," ")</f>
        <v>0</v>
      </c>
      <c r="AN4" s="14" t="str">
        <f>_xlfn.XLOOKUP(MEJORAS[[#This Row],[ÁREA]],AREAS[Área],AREAS[Dirección],,0)</f>
        <v>ADMINISTRATIVA</v>
      </c>
      <c r="AO4" s="71">
        <f t="shared" si="1"/>
        <v>3</v>
      </c>
      <c r="AP4"/>
      <c r="AQ4" s="13"/>
    </row>
    <row r="5" spans="2:43" ht="31.5">
      <c r="B5" s="14">
        <f>IF(MEJORAS[[#This Row],[FECHA DE APERTURA]]="","",YEAR(MEJORAS[[#This Row],[FECHA DE APERTURA]]))</f>
        <v>2024</v>
      </c>
      <c r="C5" s="14" t="s">
        <v>223</v>
      </c>
      <c r="D5" s="14">
        <f t="shared" si="0"/>
        <v>3</v>
      </c>
      <c r="E5" s="14"/>
      <c r="F5" s="15" t="str">
        <f>IF(MEJORAS[[#This Row],[FECHA DE APERTURA]]="","",IF(MEJORAS[[#This Row],[Columna1]]="","OM#"&amp;MEJORAS[[#This Row],[MES]]&amp;"\"&amp;YEAR(MEJORAS[[#This Row],[FECHA DE APERTURA]]),MEJORAS[[#This Row],[Columna1]]))</f>
        <v>OM#3\2024</v>
      </c>
      <c r="G5" s="17">
        <v>45434</v>
      </c>
      <c r="H5" s="18" t="s">
        <v>224</v>
      </c>
      <c r="I5" s="60">
        <v>45562</v>
      </c>
      <c r="J5" s="60">
        <v>45656</v>
      </c>
      <c r="K5" s="60">
        <v>45706</v>
      </c>
      <c r="L5" s="19"/>
      <c r="M5" s="58" t="s">
        <v>19</v>
      </c>
      <c r="N5" s="57" t="s">
        <v>218</v>
      </c>
      <c r="O5" s="165" t="s">
        <v>222</v>
      </c>
      <c r="P5" s="18"/>
      <c r="Q5" s="21"/>
      <c r="R5" s="17"/>
      <c r="S5" s="17"/>
      <c r="T5" s="14" t="str">
        <f>IF(MEJORAS[[#This Row],[Fecha Recibido]]="","",IF(NETWORKDAYS(MEJORAS[[#This Row],[Fecha entrega]],MEJORAS[[#This Row],[Fecha Recibido]])&lt;=5,1,0))</f>
        <v/>
      </c>
      <c r="U5" s="14" t="str">
        <f>IF(MEJORAS[[#This Row],[Fecha entrega]]="","",TEXT(MEJORAS[[#This Row],[Fecha entrega]],"MMMM"))</f>
        <v/>
      </c>
      <c r="V5" s="14" t="str">
        <f>IF(MEJORAS[[#This Row],[Fecha entrega]]="","",YEAR(MEJORAS[[#This Row],[Fecha entrega]]))</f>
        <v/>
      </c>
      <c r="W5" s="14" t="str">
        <f>IF(MEJORAS[[#This Row],[Fecha Recibido]]="","",TEXT(MEJORAS[[#This Row],[Fecha Recibido]],"mmmm"))</f>
        <v/>
      </c>
      <c r="X5" s="14" t="str">
        <f>IF(MEJORAS[[#This Row],[Fecha Recibido]]="","",YEAR(MEJORAS[[#This Row],[Fecha Recibido]]))</f>
        <v/>
      </c>
      <c r="Y5" s="14" t="str">
        <f>_xlfn.CONCAT(MEJORAS[[#This Row],[ÁREA]],MEJORAS[[#This Row],[ORIGEN]])</f>
        <v>Plantas Potabilizadoras2-24</v>
      </c>
      <c r="Z5" s="14" t="str">
        <f>_xlfn.CONCAT(MEJORAS[[#This Row],[ÁREA]],MEJORAS[[#This Row],[ESTATUS]])</f>
        <v>Plantas PotabilizadorasCerrada</v>
      </c>
      <c r="AA5" s="14"/>
      <c r="AB5" s="14" t="str">
        <f ca="1">IFERROR(IF(MEJORAS[[#This Row],[FECHA DE CIERRE]]&gt;TODAY(),1,""),"")</f>
        <v/>
      </c>
      <c r="AC5" s="14" t="str">
        <f ca="1">IFERROR(IF(MEJORAS[[#This Row],[REPLANTEO '#1]]&gt;TODAY(),1,""),"")</f>
        <v/>
      </c>
      <c r="AD5" s="14" t="str">
        <f ca="1">IFERROR(IF(MEJORAS[[#This Row],[REPLANTEO '#2 "Formato de replanteo"]]&gt;TODAY(),1,""),"")</f>
        <v/>
      </c>
      <c r="AE5" s="14" t="str">
        <f ca="1">IFERROR(IF(MEJORAS[[#This Row],[REPLANTEO '#3]]&gt;TODAY(),1,""),"")</f>
        <v/>
      </c>
      <c r="AF5" s="14" t="str">
        <f>IFERROR(IF(MEJORAS[[#This Row],[ESTATUS]]="CIERRE",1,""),"")</f>
        <v/>
      </c>
      <c r="AG5" s="14">
        <f>IFERROR(IF(MEJORAS[[#This Row],[ESTATUS]]="CERRADA",1,""),"")</f>
        <v>1</v>
      </c>
      <c r="AH5" s="14">
        <f ca="1">COUNT(MEJORAS[[#This Row],[CÓDIGO 4 EN FECHA DE CIERRE ]:[CÓDIGO 9 ESTATUS CERRADA]])</f>
        <v>1</v>
      </c>
      <c r="AI5" s="14" t="str" cm="1">
        <f t="array" aca="1" ref="AI5"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5" s="14" t="str" cm="1">
        <f t="array" aca="1" ref="AJ5"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5" s="14" t="str" cm="1">
        <f t="array" aca="1" ref="AK5"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5" s="14" t="str" cm="1">
        <f t="array" aca="1" ref="AL5"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5" s="14" t="b">
        <f ca="1">IFERROR(COUNTIF(MEJORAS[[#This Row],[CÓDIGO 11 POR VENCER FECHA CIERRE]:[CÓDIGO 14 FUERA DE REPLANTEO 3]],3)=1," ")</f>
        <v>0</v>
      </c>
      <c r="AN5" s="14" t="str">
        <f>_xlfn.XLOOKUP(MEJORAS[[#This Row],[ÁREA]],AREAS[Área],AREAS[Dirección],,0)</f>
        <v>TÉCNICA</v>
      </c>
      <c r="AO5" s="71">
        <f t="shared" si="1"/>
        <v>4</v>
      </c>
      <c r="AP5"/>
      <c r="AQ5" s="13"/>
    </row>
    <row r="6" spans="2:43" ht="31.5" customHeight="1">
      <c r="B6" s="14">
        <f>IF(MEJORAS[[#This Row],[FECHA DE APERTURA]]="","",YEAR(MEJORAS[[#This Row],[FECHA DE APERTURA]]))</f>
        <v>2024</v>
      </c>
      <c r="C6" s="14" t="s">
        <v>225</v>
      </c>
      <c r="D6" s="14">
        <f t="shared" si="0"/>
        <v>4</v>
      </c>
      <c r="E6" s="14"/>
      <c r="F6" s="15" t="str">
        <f>IF(MEJORAS[[#This Row],[FECHA DE APERTURA]]="","",IF(MEJORAS[[#This Row],[Columna1]]="","OM#"&amp;MEJORAS[[#This Row],[MES]]&amp;"\"&amp;YEAR(MEJORAS[[#This Row],[FECHA DE APERTURA]]),MEJORAS[[#This Row],[Columna1]]))</f>
        <v>OM#43\2024</v>
      </c>
      <c r="G6" s="17">
        <v>45441</v>
      </c>
      <c r="H6" s="18" t="s">
        <v>226</v>
      </c>
      <c r="I6" s="60">
        <v>45657</v>
      </c>
      <c r="J6" s="60">
        <v>45854</v>
      </c>
      <c r="K6" s="60"/>
      <c r="L6" s="19"/>
      <c r="M6" s="58" t="s">
        <v>72</v>
      </c>
      <c r="N6" s="57" t="s">
        <v>218</v>
      </c>
      <c r="O6" s="165" t="s">
        <v>222</v>
      </c>
      <c r="P6" s="18"/>
      <c r="Q6" s="21" t="s">
        <v>169</v>
      </c>
      <c r="R6" s="17">
        <v>45755</v>
      </c>
      <c r="S6" s="17">
        <v>45761</v>
      </c>
      <c r="T6" s="72">
        <f>IF(MEJORAS[[#This Row],[Fecha Recibido]]="","",IF(NETWORKDAYS(MEJORAS[[#This Row],[Fecha entrega]],MEJORAS[[#This Row],[Fecha Recibido]])&lt;=5,1,0))</f>
        <v>1</v>
      </c>
      <c r="U6" s="72" t="str">
        <f>IF(MEJORAS[[#This Row],[Fecha entrega]]="","",TEXT(MEJORAS[[#This Row],[Fecha entrega]],"MMMM"))</f>
        <v>abril</v>
      </c>
      <c r="V6" s="72">
        <f>IF(MEJORAS[[#This Row],[Fecha entrega]]="","",YEAR(MEJORAS[[#This Row],[Fecha entrega]]))</f>
        <v>2025</v>
      </c>
      <c r="W6" s="72" t="str">
        <f>IF(MEJORAS[[#This Row],[Fecha Recibido]]="","",TEXT(MEJORAS[[#This Row],[Fecha Recibido]],"mmmm"))</f>
        <v>abril</v>
      </c>
      <c r="X6" s="72">
        <f>IF(MEJORAS[[#This Row],[Fecha Recibido]]="","",YEAR(MEJORAS[[#This Row],[Fecha Recibido]]))</f>
        <v>2025</v>
      </c>
      <c r="Y6" s="14" t="str">
        <f>_xlfn.CONCAT(MEJORAS[[#This Row],[ÁREA]],MEJORAS[[#This Row],[ORIGEN]])</f>
        <v>Recursos Materiales2-24</v>
      </c>
      <c r="Z6" s="14" t="str">
        <f>_xlfn.CONCAT(MEJORAS[[#This Row],[ÁREA]],MEJORAS[[#This Row],[ESTATUS]])</f>
        <v>Recursos MaterialesCerrada</v>
      </c>
      <c r="AA6" s="14"/>
      <c r="AB6" s="14" t="str">
        <f ca="1">IFERROR(IF(MEJORAS[[#This Row],[FECHA DE CIERRE]]&gt;TODAY(),1,""),"")</f>
        <v/>
      </c>
      <c r="AC6" s="14" t="str">
        <f ca="1">IFERROR(IF(MEJORAS[[#This Row],[REPLANTEO '#1]]&gt;TODAY(),1,""),"")</f>
        <v/>
      </c>
      <c r="AD6" s="14" t="str">
        <f ca="1">IFERROR(IF(MEJORAS[[#This Row],[REPLANTEO '#2 "Formato de replanteo"]]&gt;TODAY(),1,""),"")</f>
        <v/>
      </c>
      <c r="AE6" s="14" t="str">
        <f ca="1">IFERROR(IF(MEJORAS[[#This Row],[REPLANTEO '#3]]&gt;TODAY(),1,""),"")</f>
        <v/>
      </c>
      <c r="AF6" s="14" t="str">
        <f>IFERROR(IF(MEJORAS[[#This Row],[ESTATUS]]="CIERRE",1,""),"")</f>
        <v/>
      </c>
      <c r="AG6" s="14">
        <f>IFERROR(IF(MEJORAS[[#This Row],[ESTATUS]]="CERRADA",1,""),"")</f>
        <v>1</v>
      </c>
      <c r="AH6" s="14">
        <f ca="1">COUNT(MEJORAS[[#This Row],[CÓDIGO 4 EN FECHA DE CIERRE ]:[CÓDIGO 9 ESTATUS CERRADA]])</f>
        <v>1</v>
      </c>
      <c r="AI6" s="14" t="str" cm="1">
        <f t="array" aca="1" ref="AI6"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6" s="14" t="str" cm="1">
        <f t="array" aca="1" ref="AJ6"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6" s="14" t="str" cm="1">
        <f t="array" aca="1" ref="AK6"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6" s="14" t="str" cm="1">
        <f t="array" aca="1" ref="AL6"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6" s="14" t="b">
        <f ca="1">IFERROR(COUNTIF(MEJORAS[[#This Row],[CÓDIGO 11 POR VENCER FECHA CIERRE]:[CÓDIGO 14 FUERA DE REPLANTEO 3]],3)=1," ")</f>
        <v>0</v>
      </c>
      <c r="AN6" s="14" t="str">
        <f>_xlfn.XLOOKUP(MEJORAS[[#This Row],[ÁREA]],AREAS[Área],AREAS[Dirección],,0)</f>
        <v>ADMINISTRATIVA</v>
      </c>
      <c r="AO6" s="71">
        <f t="shared" si="1"/>
        <v>5</v>
      </c>
      <c r="AP6"/>
      <c r="AQ6" s="13"/>
    </row>
    <row r="7" spans="2:43" ht="31.5" customHeight="1">
      <c r="B7" s="14">
        <f>IF(MEJORAS[[#This Row],[FECHA DE APERTURA]]="","",YEAR(MEJORAS[[#This Row],[FECHA DE APERTURA]]))</f>
        <v>2024</v>
      </c>
      <c r="C7" s="14" t="s">
        <v>227</v>
      </c>
      <c r="D7" s="14">
        <f t="shared" si="0"/>
        <v>5</v>
      </c>
      <c r="E7" s="14"/>
      <c r="F7" s="15" t="str">
        <f>IF(MEJORAS[[#This Row],[FECHA DE APERTURA]]="","",IF(MEJORAS[[#This Row],[Columna1]]="","OM#"&amp;MEJORAS[[#This Row],[MES]]&amp;"\"&amp;YEAR(MEJORAS[[#This Row],[FECHA DE APERTURA]]),MEJORAS[[#This Row],[Columna1]]))</f>
        <v>OM#44\2024</v>
      </c>
      <c r="G7" s="17">
        <v>45469</v>
      </c>
      <c r="H7" s="18" t="s">
        <v>228</v>
      </c>
      <c r="I7" s="60">
        <v>45715</v>
      </c>
      <c r="J7" s="60">
        <v>45808</v>
      </c>
      <c r="K7" s="60">
        <v>46043</v>
      </c>
      <c r="L7" s="19"/>
      <c r="M7" s="58" t="s">
        <v>59</v>
      </c>
      <c r="N7" s="57" t="s">
        <v>218</v>
      </c>
      <c r="O7" s="165" t="s">
        <v>222</v>
      </c>
      <c r="P7" s="21" t="s">
        <v>229</v>
      </c>
      <c r="Q7" s="21"/>
      <c r="R7" s="17"/>
      <c r="S7" s="17"/>
      <c r="T7" s="72" t="str">
        <f>IF(MEJORAS[[#This Row],[Fecha Recibido]]="","",IF(NETWORKDAYS(MEJORAS[[#This Row],[Fecha entrega]],MEJORAS[[#This Row],[Fecha Recibido]])&lt;=5,1,0))</f>
        <v/>
      </c>
      <c r="U7" s="72" t="str">
        <f>IF(MEJORAS[[#This Row],[Fecha entrega]]="","",TEXT(MEJORAS[[#This Row],[Fecha entrega]],"MMMM"))</f>
        <v/>
      </c>
      <c r="V7" s="72" t="str">
        <f>IF(MEJORAS[[#This Row],[Fecha entrega]]="","",YEAR(MEJORAS[[#This Row],[Fecha entrega]]))</f>
        <v/>
      </c>
      <c r="W7" s="72" t="str">
        <f>IF(MEJORAS[[#This Row],[Fecha Recibido]]="","",TEXT(MEJORAS[[#This Row],[Fecha Recibido]],"mmmm"))</f>
        <v/>
      </c>
      <c r="X7" s="72" t="str">
        <f>IF(MEJORAS[[#This Row],[Fecha Recibido]]="","",YEAR(MEJORAS[[#This Row],[Fecha Recibido]]))</f>
        <v/>
      </c>
      <c r="Y7" s="14" t="str">
        <f>_xlfn.CONCAT(MEJORAS[[#This Row],[ÁREA]],MEJORAS[[#This Row],[ORIGEN]])</f>
        <v>Órgano de Control Interno2-24</v>
      </c>
      <c r="Z7" s="14" t="str">
        <f>_xlfn.CONCAT(MEJORAS[[#This Row],[ÁREA]],MEJORAS[[#This Row],[ESTATUS]])</f>
        <v>Órgano de Control InternoCerrada</v>
      </c>
      <c r="AA7" s="14"/>
      <c r="AB7" s="14" t="str">
        <f ca="1">IFERROR(IF(MEJORAS[[#This Row],[FECHA DE CIERRE]]&gt;TODAY(),1,""),"")</f>
        <v/>
      </c>
      <c r="AC7" s="14" t="str">
        <f ca="1">IFERROR(IF(MEJORAS[[#This Row],[REPLANTEO '#1]]&gt;TODAY(),1,""),"")</f>
        <v/>
      </c>
      <c r="AD7" s="14" t="str">
        <f ca="1">IFERROR(IF(MEJORAS[[#This Row],[REPLANTEO '#2 "Formato de replanteo"]]&gt;TODAY(),1,""),"")</f>
        <v/>
      </c>
      <c r="AE7" s="14" t="str">
        <f ca="1">IFERROR(IF(MEJORAS[[#This Row],[REPLANTEO '#3]]&gt;TODAY(),1,""),"")</f>
        <v/>
      </c>
      <c r="AF7" s="14" t="str">
        <f>IFERROR(IF(MEJORAS[[#This Row],[ESTATUS]]="CIERRE",1,""),"")</f>
        <v/>
      </c>
      <c r="AG7" s="14">
        <f>IFERROR(IF(MEJORAS[[#This Row],[ESTATUS]]="CERRADA",1,""),"")</f>
        <v>1</v>
      </c>
      <c r="AH7" s="14">
        <f ca="1">COUNT(MEJORAS[[#This Row],[CÓDIGO 4 EN FECHA DE CIERRE ]:[CÓDIGO 9 ESTATUS CERRADA]])</f>
        <v>1</v>
      </c>
      <c r="AI7" s="14" t="str" cm="1">
        <f t="array" aca="1" ref="AI7"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7" s="14" t="str" cm="1">
        <f t="array" aca="1" ref="AJ7"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7" s="14" t="str" cm="1">
        <f t="array" aca="1" ref="AK7"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7" s="14" t="str" cm="1">
        <f t="array" aca="1" ref="AL7"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7" s="14" t="b">
        <f ca="1">IFERROR(COUNTIF(MEJORAS[[#This Row],[CÓDIGO 11 POR VENCER FECHA CIERRE]:[CÓDIGO 14 FUERA DE REPLANTEO 3]],3)=1," ")</f>
        <v>0</v>
      </c>
      <c r="AN7" s="14" t="str">
        <f>_xlfn.XLOOKUP(MEJORAS[[#This Row],[ÁREA]],AREAS[Área],AREAS[Dirección],,0)</f>
        <v>ÓRGANO DE CONTROL INTERNO</v>
      </c>
      <c r="AO7" s="71">
        <f t="shared" si="1"/>
        <v>6</v>
      </c>
      <c r="AP7"/>
      <c r="AQ7" s="13"/>
    </row>
    <row r="8" spans="2:43" ht="31.5">
      <c r="B8" s="14">
        <f>IF(MEJORAS[[#This Row],[FECHA DE APERTURA]]="","",YEAR(MEJORAS[[#This Row],[FECHA DE APERTURA]]))</f>
        <v>2024</v>
      </c>
      <c r="C8" s="14" t="s">
        <v>230</v>
      </c>
      <c r="D8" s="14">
        <f t="shared" si="0"/>
        <v>6</v>
      </c>
      <c r="E8" s="14"/>
      <c r="F8" s="15" t="str">
        <f>IF(MEJORAS[[#This Row],[FECHA DE APERTURA]]="","",IF(MEJORAS[[#This Row],[Columna1]]="","OM#"&amp;MEJORAS[[#This Row],[MES]]&amp;"\"&amp;YEAR(MEJORAS[[#This Row],[FECHA DE APERTURA]]),MEJORAS[[#This Row],[Columna1]]))</f>
        <v>OM#60\2024</v>
      </c>
      <c r="G8" s="17">
        <v>45544</v>
      </c>
      <c r="H8" s="18" t="s">
        <v>231</v>
      </c>
      <c r="I8" s="60">
        <v>45649</v>
      </c>
      <c r="J8" s="60">
        <v>45818</v>
      </c>
      <c r="K8" s="60"/>
      <c r="L8" s="19"/>
      <c r="M8" s="58" t="s">
        <v>75</v>
      </c>
      <c r="N8" s="57" t="s">
        <v>218</v>
      </c>
      <c r="O8" s="165" t="s">
        <v>232</v>
      </c>
      <c r="P8" s="18"/>
      <c r="Q8" s="21" t="s">
        <v>172</v>
      </c>
      <c r="R8" s="17">
        <v>45757</v>
      </c>
      <c r="S8" s="17">
        <v>45758</v>
      </c>
      <c r="T8" s="72">
        <f>IF(MEJORAS[[#This Row],[Fecha Recibido]]="","",IF(NETWORKDAYS(MEJORAS[[#This Row],[Fecha entrega]],MEJORAS[[#This Row],[Fecha Recibido]])&lt;=5,1,0))</f>
        <v>1</v>
      </c>
      <c r="U8" s="72" t="str">
        <f>IF(MEJORAS[[#This Row],[Fecha entrega]]="","",TEXT(MEJORAS[[#This Row],[Fecha entrega]],"MMMM"))</f>
        <v>abril</v>
      </c>
      <c r="V8" s="72">
        <f>IF(MEJORAS[[#This Row],[Fecha entrega]]="","",YEAR(MEJORAS[[#This Row],[Fecha entrega]]))</f>
        <v>2025</v>
      </c>
      <c r="W8" s="72" t="str">
        <f>IF(MEJORAS[[#This Row],[Fecha Recibido]]="","",TEXT(MEJORAS[[#This Row],[Fecha Recibido]],"mmmm"))</f>
        <v>abril</v>
      </c>
      <c r="X8" s="72">
        <f>IF(MEJORAS[[#This Row],[Fecha Recibido]]="","",YEAR(MEJORAS[[#This Row],[Fecha Recibido]]))</f>
        <v>2025</v>
      </c>
      <c r="Y8" s="14" t="str">
        <f>_xlfn.CONCAT(MEJORAS[[#This Row],[ÁREA]],MEJORAS[[#This Row],[ORIGEN]])</f>
        <v>Recursos Humanos3-24</v>
      </c>
      <c r="Z8" s="14" t="str">
        <f>_xlfn.CONCAT(MEJORAS[[#This Row],[ÁREA]],MEJORAS[[#This Row],[ESTATUS]])</f>
        <v>Recursos HumanosCerrada</v>
      </c>
      <c r="AA8" s="14"/>
      <c r="AB8" s="14" t="str">
        <f ca="1">IFERROR(IF(MEJORAS[[#This Row],[FECHA DE CIERRE]]&gt;TODAY(),1,""),"")</f>
        <v/>
      </c>
      <c r="AC8" s="14" t="str">
        <f ca="1">IFERROR(IF(MEJORAS[[#This Row],[REPLANTEO '#1]]&gt;TODAY(),1,""),"")</f>
        <v/>
      </c>
      <c r="AD8" s="14" t="str">
        <f ca="1">IFERROR(IF(MEJORAS[[#This Row],[REPLANTEO '#2 "Formato de replanteo"]]&gt;TODAY(),1,""),"")</f>
        <v/>
      </c>
      <c r="AE8" s="14" t="str">
        <f ca="1">IFERROR(IF(MEJORAS[[#This Row],[REPLANTEO '#3]]&gt;TODAY(),1,""),"")</f>
        <v/>
      </c>
      <c r="AF8" s="14" t="str">
        <f>IFERROR(IF(MEJORAS[[#This Row],[ESTATUS]]="CIERRE",1,""),"")</f>
        <v/>
      </c>
      <c r="AG8" s="14">
        <f>IFERROR(IF(MEJORAS[[#This Row],[ESTATUS]]="CERRADA",1,""),"")</f>
        <v>1</v>
      </c>
      <c r="AH8" s="14">
        <f ca="1">COUNT(MEJORAS[[#This Row],[CÓDIGO 4 EN FECHA DE CIERRE ]:[CÓDIGO 9 ESTATUS CERRADA]])</f>
        <v>1</v>
      </c>
      <c r="AI8" s="14" t="str" cm="1">
        <f t="array" aca="1" ref="AI8"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8" s="14" t="str" cm="1">
        <f t="array" aca="1" ref="AJ8"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8" s="14" t="str" cm="1">
        <f t="array" aca="1" ref="AK8"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8" s="14" t="str" cm="1">
        <f t="array" aca="1" ref="AL8"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8" s="14" t="b">
        <f ca="1">IFERROR(COUNTIF(MEJORAS[[#This Row],[CÓDIGO 11 POR VENCER FECHA CIERRE]:[CÓDIGO 14 FUERA DE REPLANTEO 3]],3)=1," ")</f>
        <v>0</v>
      </c>
      <c r="AN8" s="14" t="str">
        <f>_xlfn.XLOOKUP(MEJORAS[[#This Row],[ÁREA]],AREAS[Área],AREAS[Dirección],,0)</f>
        <v>ADMINISTRATIVA</v>
      </c>
      <c r="AO8" s="71">
        <f t="shared" si="1"/>
        <v>7</v>
      </c>
      <c r="AP8"/>
      <c r="AQ8" s="13"/>
    </row>
    <row r="9" spans="2:43" ht="31.5">
      <c r="B9" s="14">
        <f>IF(MEJORAS[[#This Row],[FECHA DE APERTURA]]="","",YEAR(MEJORAS[[#This Row],[FECHA DE APERTURA]]))</f>
        <v>2024</v>
      </c>
      <c r="C9" s="14" t="s">
        <v>233</v>
      </c>
      <c r="D9" s="14">
        <f t="shared" si="0"/>
        <v>7</v>
      </c>
      <c r="E9" s="14"/>
      <c r="F9" s="15" t="str">
        <f>IF(MEJORAS[[#This Row],[FECHA DE APERTURA]]="","",IF(MEJORAS[[#This Row],[Columna1]]="","OM#"&amp;MEJORAS[[#This Row],[MES]]&amp;"\"&amp;YEAR(MEJORAS[[#This Row],[FECHA DE APERTURA]]),MEJORAS[[#This Row],[Columna1]]))</f>
        <v>OM#53\2024</v>
      </c>
      <c r="G9" s="17">
        <v>45546</v>
      </c>
      <c r="H9" s="18" t="s">
        <v>234</v>
      </c>
      <c r="I9" s="60">
        <v>45739</v>
      </c>
      <c r="J9" s="60"/>
      <c r="K9" s="60"/>
      <c r="L9" s="19"/>
      <c r="M9" s="58" t="s">
        <v>235</v>
      </c>
      <c r="N9" s="57" t="s">
        <v>218</v>
      </c>
      <c r="O9" s="165" t="s">
        <v>232</v>
      </c>
      <c r="P9" s="18"/>
      <c r="Q9" s="21"/>
      <c r="R9" s="17"/>
      <c r="S9" s="17"/>
      <c r="T9" s="14" t="str">
        <f>IF(MEJORAS[[#This Row],[Fecha Recibido]]="","",IF(NETWORKDAYS(MEJORAS[[#This Row],[Fecha entrega]],MEJORAS[[#This Row],[Fecha Recibido]])&lt;=5,1,0))</f>
        <v/>
      </c>
      <c r="U9" s="14" t="str">
        <f>IF(MEJORAS[[#This Row],[Fecha entrega]]="","",TEXT(MEJORAS[[#This Row],[Fecha entrega]],"MMMM"))</f>
        <v/>
      </c>
      <c r="V9" s="14" t="str">
        <f>IF(MEJORAS[[#This Row],[Fecha entrega]]="","",YEAR(MEJORAS[[#This Row],[Fecha entrega]]))</f>
        <v/>
      </c>
      <c r="W9" s="14" t="str">
        <f>IF(MEJORAS[[#This Row],[Fecha Recibido]]="","",TEXT(MEJORAS[[#This Row],[Fecha Recibido]],"mmmm"))</f>
        <v/>
      </c>
      <c r="X9" s="14" t="str">
        <f>IF(MEJORAS[[#This Row],[Fecha Recibido]]="","",YEAR(MEJORAS[[#This Row],[Fecha Recibido]]))</f>
        <v/>
      </c>
      <c r="Y9" s="14" t="str">
        <f>_xlfn.CONCAT(MEJORAS[[#This Row],[ÁREA]],MEJORAS[[#This Row],[ORIGEN]])</f>
        <v>Control de calidad3-24</v>
      </c>
      <c r="Z9" s="14" t="str">
        <f>_xlfn.CONCAT(MEJORAS[[#This Row],[ÁREA]],MEJORAS[[#This Row],[ESTATUS]])</f>
        <v>Control de calidadCerrada</v>
      </c>
      <c r="AA9" s="14"/>
      <c r="AB9" s="14" t="str">
        <f ca="1">IFERROR(IF(MEJORAS[[#This Row],[FECHA DE CIERRE]]&gt;TODAY(),1,""),"")</f>
        <v/>
      </c>
      <c r="AC9" s="14" t="str">
        <f ca="1">IFERROR(IF(MEJORAS[[#This Row],[REPLANTEO '#1]]&gt;TODAY(),1,""),"")</f>
        <v/>
      </c>
      <c r="AD9" s="14" t="str">
        <f ca="1">IFERROR(IF(MEJORAS[[#This Row],[REPLANTEO '#2 "Formato de replanteo"]]&gt;TODAY(),1,""),"")</f>
        <v/>
      </c>
      <c r="AE9" s="14" t="str">
        <f ca="1">IFERROR(IF(MEJORAS[[#This Row],[REPLANTEO '#3]]&gt;TODAY(),1,""),"")</f>
        <v/>
      </c>
      <c r="AF9" s="14" t="str">
        <f>IFERROR(IF(MEJORAS[[#This Row],[ESTATUS]]="CIERRE",1,""),"")</f>
        <v/>
      </c>
      <c r="AG9" s="14">
        <f>IFERROR(IF(MEJORAS[[#This Row],[ESTATUS]]="CERRADA",1,""),"")</f>
        <v>1</v>
      </c>
      <c r="AH9" s="14">
        <f ca="1">COUNT(MEJORAS[[#This Row],[CÓDIGO 4 EN FECHA DE CIERRE ]:[CÓDIGO 9 ESTATUS CERRADA]])</f>
        <v>1</v>
      </c>
      <c r="AI9" s="14" t="str" cm="1">
        <f t="array" aca="1" ref="AI9"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9" s="14" t="str" cm="1">
        <f t="array" aca="1" ref="AJ9"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9" s="14" t="str" cm="1">
        <f t="array" aca="1" ref="AK9"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9" s="14" t="str" cm="1">
        <f t="array" aca="1" ref="AL9"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9" s="14" t="b">
        <f ca="1">IFERROR(COUNTIF(MEJORAS[[#This Row],[CÓDIGO 11 POR VENCER FECHA CIERRE]:[CÓDIGO 14 FUERA DE REPLANTEO 3]],3)=1," ")</f>
        <v>0</v>
      </c>
      <c r="AN9" s="14" t="str">
        <f>_xlfn.XLOOKUP(MEJORAS[[#This Row],[ÁREA]],AREAS[Área],AREAS[Dirección],,0)</f>
        <v>TÉCNICA</v>
      </c>
      <c r="AO9" s="71">
        <f t="shared" si="1"/>
        <v>8</v>
      </c>
      <c r="AP9"/>
      <c r="AQ9" s="13"/>
    </row>
    <row r="10" spans="2:43" ht="31.5">
      <c r="B10" s="14">
        <f>IF(MEJORAS[[#This Row],[FECHA DE APERTURA]]="","",YEAR(MEJORAS[[#This Row],[FECHA DE APERTURA]]))</f>
        <v>2024</v>
      </c>
      <c r="C10" s="14" t="s">
        <v>236</v>
      </c>
      <c r="D10" s="14">
        <f t="shared" si="0"/>
        <v>8</v>
      </c>
      <c r="E10" s="14"/>
      <c r="F10" s="15" t="str">
        <f>IF(MEJORAS[[#This Row],[FECHA DE APERTURA]]="","",IF(MEJORAS[[#This Row],[Columna1]]="","OM#"&amp;MEJORAS[[#This Row],[MES]]&amp;"\"&amp;YEAR(MEJORAS[[#This Row],[FECHA DE APERTURA]]),MEJORAS[[#This Row],[Columna1]]))</f>
        <v>OM#56\2024</v>
      </c>
      <c r="G10" s="17">
        <v>45560</v>
      </c>
      <c r="H10" s="18" t="s">
        <v>237</v>
      </c>
      <c r="I10" s="60">
        <v>45646</v>
      </c>
      <c r="J10" s="60">
        <v>45751</v>
      </c>
      <c r="K10" s="60"/>
      <c r="L10" s="19"/>
      <c r="M10" s="58" t="s">
        <v>26</v>
      </c>
      <c r="N10" s="57" t="s">
        <v>218</v>
      </c>
      <c r="O10" s="165" t="s">
        <v>232</v>
      </c>
      <c r="P10" s="18"/>
      <c r="Q10" s="21" t="s">
        <v>155</v>
      </c>
      <c r="R10" s="17">
        <v>45761</v>
      </c>
      <c r="S10" s="17">
        <v>45765</v>
      </c>
      <c r="T10" s="72">
        <f>IF(MEJORAS[[#This Row],[Fecha Recibido]]="","",IF(NETWORKDAYS(MEJORAS[[#This Row],[Fecha entrega]],MEJORAS[[#This Row],[Fecha Recibido]])&lt;=5,1,0))</f>
        <v>1</v>
      </c>
      <c r="U10" s="72" t="str">
        <f>IF(MEJORAS[[#This Row],[Fecha entrega]]="","",TEXT(MEJORAS[[#This Row],[Fecha entrega]],"MMMM"))</f>
        <v>abril</v>
      </c>
      <c r="V10" s="72">
        <f>IF(MEJORAS[[#This Row],[Fecha entrega]]="","",YEAR(MEJORAS[[#This Row],[Fecha entrega]]))</f>
        <v>2025</v>
      </c>
      <c r="W10" s="72" t="str">
        <f>IF(MEJORAS[[#This Row],[Fecha Recibido]]="","",TEXT(MEJORAS[[#This Row],[Fecha Recibido]],"mmmm"))</f>
        <v>abril</v>
      </c>
      <c r="X10" s="72">
        <f>IF(MEJORAS[[#This Row],[Fecha Recibido]]="","",YEAR(MEJORAS[[#This Row],[Fecha Recibido]]))</f>
        <v>2025</v>
      </c>
      <c r="Y10" s="14" t="str">
        <f>_xlfn.CONCAT(MEJORAS[[#This Row],[ÁREA]],MEJORAS[[#This Row],[ORIGEN]])</f>
        <v>Contratos y Servicios3-24</v>
      </c>
      <c r="Z10" s="14" t="str">
        <f>_xlfn.CONCAT(MEJORAS[[#This Row],[ÁREA]],MEJORAS[[#This Row],[ESTATUS]])</f>
        <v>Contratos y ServiciosCerrada</v>
      </c>
      <c r="AA10" s="14"/>
      <c r="AB10" s="14" t="str">
        <f ca="1">IFERROR(IF(MEJORAS[[#This Row],[FECHA DE CIERRE]]&gt;TODAY(),1,""),"")</f>
        <v/>
      </c>
      <c r="AC10" s="14" t="str">
        <f ca="1">IFERROR(IF(MEJORAS[[#This Row],[REPLANTEO '#1]]&gt;TODAY(),1,""),"")</f>
        <v/>
      </c>
      <c r="AD10" s="14" t="str">
        <f ca="1">IFERROR(IF(MEJORAS[[#This Row],[REPLANTEO '#2 "Formato de replanteo"]]&gt;TODAY(),1,""),"")</f>
        <v/>
      </c>
      <c r="AE10" s="14" t="str">
        <f ca="1">IFERROR(IF(MEJORAS[[#This Row],[REPLANTEO '#3]]&gt;TODAY(),1,""),"")</f>
        <v/>
      </c>
      <c r="AF10" s="14" t="str">
        <f>IFERROR(IF(MEJORAS[[#This Row],[ESTATUS]]="CIERRE",1,""),"")</f>
        <v/>
      </c>
      <c r="AG10" s="14">
        <f>IFERROR(IF(MEJORAS[[#This Row],[ESTATUS]]="CERRADA",1,""),"")</f>
        <v>1</v>
      </c>
      <c r="AH10" s="14">
        <f ca="1">COUNT(MEJORAS[[#This Row],[CÓDIGO 4 EN FECHA DE CIERRE ]:[CÓDIGO 9 ESTATUS CERRADA]])</f>
        <v>1</v>
      </c>
      <c r="AI10" s="14" t="str" cm="1">
        <f t="array" aca="1" ref="AI10"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0" s="14" t="str" cm="1">
        <f t="array" aca="1" ref="AJ10"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0" s="14" t="str" cm="1">
        <f t="array" aca="1" ref="AK10"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0" s="14" t="str" cm="1">
        <f t="array" aca="1" ref="AL10"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0" s="14" t="b">
        <f ca="1">IFERROR(COUNTIF(MEJORAS[[#This Row],[CÓDIGO 11 POR VENCER FECHA CIERRE]:[CÓDIGO 14 FUERA DE REPLANTEO 3]],3)=1," ")</f>
        <v>0</v>
      </c>
      <c r="AN10" s="14" t="str">
        <f>_xlfn.XLOOKUP(MEJORAS[[#This Row],[ÁREA]],AREAS[Área],AREAS[Dirección],,0)</f>
        <v>COMERCIAL</v>
      </c>
      <c r="AO10" s="71">
        <f t="shared" si="1"/>
        <v>9</v>
      </c>
      <c r="AP10"/>
      <c r="AQ10" s="13"/>
    </row>
    <row r="11" spans="2:43" ht="31.5">
      <c r="B11" s="14">
        <f>IF(MEJORAS[[#This Row],[FECHA DE APERTURA]]="","",YEAR(MEJORAS[[#This Row],[FECHA DE APERTURA]]))</f>
        <v>2024</v>
      </c>
      <c r="C11" s="14" t="s">
        <v>238</v>
      </c>
      <c r="D11" s="14">
        <f t="shared" si="0"/>
        <v>9</v>
      </c>
      <c r="E11" s="14"/>
      <c r="F11" s="15" t="str">
        <f>IF(MEJORAS[[#This Row],[FECHA DE APERTURA]]="","",IF(MEJORAS[[#This Row],[Columna1]]="","OM#"&amp;MEJORAS[[#This Row],[MES]]&amp;"\"&amp;YEAR(MEJORAS[[#This Row],[FECHA DE APERTURA]]),MEJORAS[[#This Row],[Columna1]]))</f>
        <v>OM#58\2024</v>
      </c>
      <c r="G11" s="17">
        <v>45561</v>
      </c>
      <c r="H11" s="18" t="s">
        <v>239</v>
      </c>
      <c r="I11" s="60">
        <v>45757</v>
      </c>
      <c r="J11" s="60"/>
      <c r="K11" s="60"/>
      <c r="L11" s="19"/>
      <c r="M11" s="58" t="s">
        <v>92</v>
      </c>
      <c r="N11" s="57" t="s">
        <v>218</v>
      </c>
      <c r="O11" s="165" t="s">
        <v>232</v>
      </c>
      <c r="P11" s="18"/>
      <c r="Q11" s="21" t="s">
        <v>173</v>
      </c>
      <c r="R11" s="17">
        <v>45757</v>
      </c>
      <c r="S11" s="17">
        <v>45758</v>
      </c>
      <c r="T11" s="72">
        <f>IF(MEJORAS[[#This Row],[Fecha Recibido]]="","",IF(NETWORKDAYS(MEJORAS[[#This Row],[Fecha entrega]],MEJORAS[[#This Row],[Fecha Recibido]])&lt;=5,1,0))</f>
        <v>1</v>
      </c>
      <c r="U11" s="72" t="str">
        <f>IF(MEJORAS[[#This Row],[Fecha entrega]]="","",TEXT(MEJORAS[[#This Row],[Fecha entrega]],"MMMM"))</f>
        <v>abril</v>
      </c>
      <c r="V11" s="72">
        <f>IF(MEJORAS[[#This Row],[Fecha entrega]]="","",YEAR(MEJORAS[[#This Row],[Fecha entrega]]))</f>
        <v>2025</v>
      </c>
      <c r="W11" s="72" t="str">
        <f>IF(MEJORAS[[#This Row],[Fecha Recibido]]="","",TEXT(MEJORAS[[#This Row],[Fecha Recibido]],"mmmm"))</f>
        <v>abril</v>
      </c>
      <c r="X11" s="72">
        <f>IF(MEJORAS[[#This Row],[Fecha Recibido]]="","",YEAR(MEJORAS[[#This Row],[Fecha Recibido]]))</f>
        <v>2025</v>
      </c>
      <c r="Y11" s="14" t="str">
        <f>_xlfn.CONCAT(MEJORAS[[#This Row],[ÁREA]],MEJORAS[[#This Row],[ORIGEN]])</f>
        <v>Suburbano Técnico3-24</v>
      </c>
      <c r="Z11" s="14" t="str">
        <f>_xlfn.CONCAT(MEJORAS[[#This Row],[ÁREA]],MEJORAS[[#This Row],[ESTATUS]])</f>
        <v>Suburbano TécnicoCerrada</v>
      </c>
      <c r="AA11" s="14"/>
      <c r="AB11" s="14" t="str">
        <f ca="1">IFERROR(IF(MEJORAS[[#This Row],[FECHA DE CIERRE]]&gt;TODAY(),1,""),"")</f>
        <v/>
      </c>
      <c r="AC11" s="14" t="str">
        <f ca="1">IFERROR(IF(MEJORAS[[#This Row],[REPLANTEO '#1]]&gt;TODAY(),1,""),"")</f>
        <v/>
      </c>
      <c r="AD11" s="14" t="str">
        <f ca="1">IFERROR(IF(MEJORAS[[#This Row],[REPLANTEO '#2 "Formato de replanteo"]]&gt;TODAY(),1,""),"")</f>
        <v/>
      </c>
      <c r="AE11" s="14" t="str">
        <f ca="1">IFERROR(IF(MEJORAS[[#This Row],[REPLANTEO '#3]]&gt;TODAY(),1,""),"")</f>
        <v/>
      </c>
      <c r="AF11" s="14" t="str">
        <f>IFERROR(IF(MEJORAS[[#This Row],[ESTATUS]]="CIERRE",1,""),"")</f>
        <v/>
      </c>
      <c r="AG11" s="14">
        <f>IFERROR(IF(MEJORAS[[#This Row],[ESTATUS]]="CERRADA",1,""),"")</f>
        <v>1</v>
      </c>
      <c r="AH11" s="14">
        <f ca="1">COUNT(MEJORAS[[#This Row],[CÓDIGO 4 EN FECHA DE CIERRE ]:[CÓDIGO 9 ESTATUS CERRADA]])</f>
        <v>1</v>
      </c>
      <c r="AI11" s="14" t="str" cm="1">
        <f t="array" aca="1" ref="AI11"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1" s="14" t="str" cm="1">
        <f t="array" aca="1" ref="AJ11"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1" s="14" t="str" cm="1">
        <f t="array" aca="1" ref="AK11"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1" s="14" t="str" cm="1">
        <f t="array" aca="1" ref="AL11"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1" s="14" t="b">
        <f ca="1">IFERROR(COUNTIF(MEJORAS[[#This Row],[CÓDIGO 11 POR VENCER FECHA CIERRE]:[CÓDIGO 14 FUERA DE REPLANTEO 3]],3)=1," ")</f>
        <v>0</v>
      </c>
      <c r="AN11" s="14" t="str">
        <f>_xlfn.XLOOKUP(MEJORAS[[#This Row],[ÁREA]],AREAS[Área],AREAS[Dirección],,0)</f>
        <v>TÉCNICA</v>
      </c>
      <c r="AO11" s="71">
        <f t="shared" si="1"/>
        <v>10</v>
      </c>
      <c r="AP11"/>
      <c r="AQ11" s="13"/>
    </row>
    <row r="12" spans="2:43" ht="31.5">
      <c r="B12" s="14">
        <f>IF(MEJORAS[[#This Row],[FECHA DE APERTURA]]="","",YEAR(MEJORAS[[#This Row],[FECHA DE APERTURA]]))</f>
        <v>2024</v>
      </c>
      <c r="C12" s="14" t="s">
        <v>240</v>
      </c>
      <c r="D12" s="14">
        <f t="shared" si="0"/>
        <v>10</v>
      </c>
      <c r="E12" s="14"/>
      <c r="F12" s="15" t="str">
        <f>IF(MEJORAS[[#This Row],[FECHA DE APERTURA]]="","",IF(MEJORAS[[#This Row],[Columna1]]="","OM#"&amp;MEJORAS[[#This Row],[MES]]&amp;"\"&amp;YEAR(MEJORAS[[#This Row],[FECHA DE APERTURA]]),MEJORAS[[#This Row],[Columna1]]))</f>
        <v>OM#57\2024</v>
      </c>
      <c r="G12" s="17">
        <v>45561</v>
      </c>
      <c r="H12" s="18" t="s">
        <v>241</v>
      </c>
      <c r="I12" s="60">
        <v>45657</v>
      </c>
      <c r="J12" s="60">
        <v>45869</v>
      </c>
      <c r="K12" s="60">
        <v>46112</v>
      </c>
      <c r="L12" s="19"/>
      <c r="M12" s="58" t="s">
        <v>72</v>
      </c>
      <c r="N12" s="57" t="s">
        <v>218</v>
      </c>
      <c r="O12" s="165" t="s">
        <v>232</v>
      </c>
      <c r="P12" s="18"/>
      <c r="Q12" s="21"/>
      <c r="R12" s="17"/>
      <c r="S12" s="17"/>
      <c r="T12" s="72" t="str">
        <f>IF(MEJORAS[[#This Row],[Fecha Recibido]]="","",IF(NETWORKDAYS(MEJORAS[[#This Row],[Fecha entrega]],MEJORAS[[#This Row],[Fecha Recibido]])&lt;=5,1,0))</f>
        <v/>
      </c>
      <c r="U12" s="72" t="str">
        <f>IF(MEJORAS[[#This Row],[Fecha entrega]]="","",TEXT(MEJORAS[[#This Row],[Fecha entrega]],"MMMM"))</f>
        <v/>
      </c>
      <c r="V12" s="72" t="str">
        <f>IF(MEJORAS[[#This Row],[Fecha entrega]]="","",YEAR(MEJORAS[[#This Row],[Fecha entrega]]))</f>
        <v/>
      </c>
      <c r="W12" s="72" t="str">
        <f>IF(MEJORAS[[#This Row],[Fecha Recibido]]="","",TEXT(MEJORAS[[#This Row],[Fecha Recibido]],"mmmm"))</f>
        <v/>
      </c>
      <c r="X12" s="72" t="str">
        <f>IF(MEJORAS[[#This Row],[Fecha Recibido]]="","",YEAR(MEJORAS[[#This Row],[Fecha Recibido]]))</f>
        <v/>
      </c>
      <c r="Y12" s="14" t="str">
        <f>_xlfn.CONCAT(MEJORAS[[#This Row],[ÁREA]],MEJORAS[[#This Row],[ORIGEN]])</f>
        <v>Recursos Materiales3-24</v>
      </c>
      <c r="Z12" s="14" t="str">
        <f>_xlfn.CONCAT(MEJORAS[[#This Row],[ÁREA]],MEJORAS[[#This Row],[ESTATUS]])</f>
        <v>Recursos MaterialesCerrada</v>
      </c>
      <c r="AA12" s="14"/>
      <c r="AB12" s="14" t="str">
        <f ca="1">IFERROR(IF(MEJORAS[[#This Row],[FECHA DE CIERRE]]&gt;TODAY(),1,""),"")</f>
        <v/>
      </c>
      <c r="AC12" s="14" t="str">
        <f ca="1">IFERROR(IF(MEJORAS[[#This Row],[REPLANTEO '#1]]&gt;TODAY(),1,""),"")</f>
        <v/>
      </c>
      <c r="AD12" s="14" t="str">
        <f ca="1">IFERROR(IF(MEJORAS[[#This Row],[REPLANTEO '#2 "Formato de replanteo"]]&gt;TODAY(),1,""),"")</f>
        <v/>
      </c>
      <c r="AE12" s="14" t="str">
        <f ca="1">IFERROR(IF(MEJORAS[[#This Row],[REPLANTEO '#3]]&gt;TODAY(),1,""),"")</f>
        <v/>
      </c>
      <c r="AF12" s="14" t="str">
        <f>IFERROR(IF(MEJORAS[[#This Row],[ESTATUS]]="CIERRE",1,""),"")</f>
        <v/>
      </c>
      <c r="AG12" s="14">
        <f>IFERROR(IF(MEJORAS[[#This Row],[ESTATUS]]="CERRADA",1,""),"")</f>
        <v>1</v>
      </c>
      <c r="AH12" s="14">
        <f ca="1">COUNT(MEJORAS[[#This Row],[CÓDIGO 4 EN FECHA DE CIERRE ]:[CÓDIGO 9 ESTATUS CERRADA]])</f>
        <v>1</v>
      </c>
      <c r="AI12" s="14" t="str" cm="1">
        <f t="array" aca="1" ref="AI12"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2" s="14" t="str" cm="1">
        <f t="array" aca="1" ref="AJ12"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2" s="14" t="str" cm="1">
        <f t="array" aca="1" ref="AK12"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2" s="14" t="str" cm="1">
        <f t="array" aca="1" ref="AL12"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2" s="14" t="b">
        <f ca="1">IFERROR(COUNTIF(MEJORAS[[#This Row],[CÓDIGO 11 POR VENCER FECHA CIERRE]:[CÓDIGO 14 FUERA DE REPLANTEO 3]],3)=1," ")</f>
        <v>0</v>
      </c>
      <c r="AN12" s="14" t="str">
        <f>_xlfn.XLOOKUP(MEJORAS[[#This Row],[ÁREA]],AREAS[Área],AREAS[Dirección],,0)</f>
        <v>ADMINISTRATIVA</v>
      </c>
      <c r="AO12" s="71">
        <f t="shared" si="1"/>
        <v>11</v>
      </c>
      <c r="AP12"/>
      <c r="AQ12" s="13"/>
    </row>
    <row r="13" spans="2:43" ht="21">
      <c r="B13" s="14">
        <f>IF(MEJORAS[[#This Row],[FECHA DE APERTURA]]="","",YEAR(MEJORAS[[#This Row],[FECHA DE APERTURA]]))</f>
        <v>2024</v>
      </c>
      <c r="C13" s="14" t="s">
        <v>242</v>
      </c>
      <c r="D13" s="14">
        <f t="shared" si="0"/>
        <v>11</v>
      </c>
      <c r="E13" s="14"/>
      <c r="F13" s="15" t="str">
        <f>IF(MEJORAS[[#This Row],[FECHA DE APERTURA]]="","",IF(MEJORAS[[#This Row],[Columna1]]="","OM#"&amp;MEJORAS[[#This Row],[MES]]&amp;"\"&amp;YEAR(MEJORAS[[#This Row],[FECHA DE APERTURA]]),MEJORAS[[#This Row],[Columna1]]))</f>
        <v>OM#65\2024</v>
      </c>
      <c r="G13" s="17">
        <v>45573</v>
      </c>
      <c r="H13" s="18" t="s">
        <v>243</v>
      </c>
      <c r="I13" s="60">
        <v>45624</v>
      </c>
      <c r="J13" s="60">
        <v>45716</v>
      </c>
      <c r="K13" s="60"/>
      <c r="L13" s="19"/>
      <c r="M13" s="58" t="s">
        <v>37</v>
      </c>
      <c r="N13" s="57" t="s">
        <v>218</v>
      </c>
      <c r="O13" s="165" t="s">
        <v>232</v>
      </c>
      <c r="P13" s="18"/>
      <c r="Q13" s="21"/>
      <c r="R13" s="17"/>
      <c r="S13" s="17"/>
      <c r="T13" s="14" t="str">
        <f>IF(MEJORAS[[#This Row],[Fecha Recibido]]="","",IF(NETWORKDAYS(MEJORAS[[#This Row],[Fecha entrega]],MEJORAS[[#This Row],[Fecha Recibido]])&lt;=5,1,0))</f>
        <v/>
      </c>
      <c r="U13" s="14" t="str">
        <f>IF(MEJORAS[[#This Row],[Fecha entrega]]="","",TEXT(MEJORAS[[#This Row],[Fecha entrega]],"MMMM"))</f>
        <v/>
      </c>
      <c r="V13" s="14" t="str">
        <f>IF(MEJORAS[[#This Row],[Fecha entrega]]="","",YEAR(MEJORAS[[#This Row],[Fecha entrega]]))</f>
        <v/>
      </c>
      <c r="W13" s="14" t="str">
        <f>IF(MEJORAS[[#This Row],[Fecha Recibido]]="","",TEXT(MEJORAS[[#This Row],[Fecha Recibido]],"mmmm"))</f>
        <v/>
      </c>
      <c r="X13" s="14" t="str">
        <f>IF(MEJORAS[[#This Row],[Fecha Recibido]]="","",YEAR(MEJORAS[[#This Row],[Fecha Recibido]]))</f>
        <v/>
      </c>
      <c r="Y13" s="14" t="str">
        <f>_xlfn.CONCAT(MEJORAS[[#This Row],[ÁREA]],MEJORAS[[#This Row],[ORIGEN]])</f>
        <v>Informática3-24</v>
      </c>
      <c r="Z13" s="14" t="str">
        <f>_xlfn.CONCAT(MEJORAS[[#This Row],[ÁREA]],MEJORAS[[#This Row],[ESTATUS]])</f>
        <v>InformáticaCerrada</v>
      </c>
      <c r="AA13" s="14"/>
      <c r="AB13" s="14" t="str">
        <f ca="1">IFERROR(IF(MEJORAS[[#This Row],[FECHA DE CIERRE]]&gt;TODAY(),1,""),"")</f>
        <v/>
      </c>
      <c r="AC13" s="14" t="str">
        <f ca="1">IFERROR(IF(MEJORAS[[#This Row],[REPLANTEO '#1]]&gt;TODAY(),1,""),"")</f>
        <v/>
      </c>
      <c r="AD13" s="14" t="str">
        <f ca="1">IFERROR(IF(MEJORAS[[#This Row],[REPLANTEO '#2 "Formato de replanteo"]]&gt;TODAY(),1,""),"")</f>
        <v/>
      </c>
      <c r="AE13" s="14" t="str">
        <f ca="1">IFERROR(IF(MEJORAS[[#This Row],[REPLANTEO '#3]]&gt;TODAY(),1,""),"")</f>
        <v/>
      </c>
      <c r="AF13" s="14" t="str">
        <f>IFERROR(IF(MEJORAS[[#This Row],[ESTATUS]]="CIERRE",1,""),"")</f>
        <v/>
      </c>
      <c r="AG13" s="14">
        <f>IFERROR(IF(MEJORAS[[#This Row],[ESTATUS]]="CERRADA",1,""),"")</f>
        <v>1</v>
      </c>
      <c r="AH13" s="14">
        <f ca="1">COUNT(MEJORAS[[#This Row],[CÓDIGO 4 EN FECHA DE CIERRE ]:[CÓDIGO 9 ESTATUS CERRADA]])</f>
        <v>1</v>
      </c>
      <c r="AI13" s="14" t="str" cm="1">
        <f t="array" aca="1" ref="AI13"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3" s="14" t="str" cm="1">
        <f t="array" aca="1" ref="AJ13"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3" s="14" t="str" cm="1">
        <f t="array" aca="1" ref="AK13"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3" s="14" t="str" cm="1">
        <f t="array" aca="1" ref="AL13"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3" s="14" t="b">
        <f ca="1">IFERROR(COUNTIF(MEJORAS[[#This Row],[CÓDIGO 11 POR VENCER FECHA CIERRE]:[CÓDIGO 14 FUERA DE REPLANTEO 3]],3)=1," ")</f>
        <v>0</v>
      </c>
      <c r="AN13" s="14" t="str">
        <f>_xlfn.XLOOKUP(MEJORAS[[#This Row],[ÁREA]],AREAS[Área],AREAS[Dirección],,0)</f>
        <v>ADMINISTRATIVA</v>
      </c>
      <c r="AO13" s="71">
        <f t="shared" si="1"/>
        <v>12</v>
      </c>
      <c r="AP13"/>
      <c r="AQ13" s="13"/>
    </row>
    <row r="14" spans="2:43" ht="42">
      <c r="B14" s="14">
        <f>IF(MEJORAS[[#This Row],[FECHA DE APERTURA]]="","",YEAR(MEJORAS[[#This Row],[FECHA DE APERTURA]]))</f>
        <v>2024</v>
      </c>
      <c r="C14" s="14" t="s">
        <v>244</v>
      </c>
      <c r="D14" s="14">
        <f t="shared" si="0"/>
        <v>12</v>
      </c>
      <c r="E14" s="14"/>
      <c r="F14" s="15" t="str">
        <f>IF(MEJORAS[[#This Row],[FECHA DE APERTURA]]="","",IF(MEJORAS[[#This Row],[Columna1]]="","OM#"&amp;MEJORAS[[#This Row],[MES]]&amp;"\"&amp;YEAR(MEJORAS[[#This Row],[FECHA DE APERTURA]]),MEJORAS[[#This Row],[Columna1]]))</f>
        <v>OM#63\2024</v>
      </c>
      <c r="G14" s="17">
        <v>45574</v>
      </c>
      <c r="H14" s="18" t="s">
        <v>245</v>
      </c>
      <c r="I14" s="60">
        <v>45777</v>
      </c>
      <c r="J14" s="60">
        <v>45898</v>
      </c>
      <c r="K14" s="60">
        <v>45930</v>
      </c>
      <c r="L14" s="19"/>
      <c r="M14" s="58" t="s">
        <v>12</v>
      </c>
      <c r="N14" s="57" t="s">
        <v>218</v>
      </c>
      <c r="O14" s="165" t="s">
        <v>232</v>
      </c>
      <c r="P14" s="18" t="s">
        <v>246</v>
      </c>
      <c r="Q14" s="21"/>
      <c r="R14" s="17"/>
      <c r="S14" s="17"/>
      <c r="T14" s="72" t="str">
        <f>IF(MEJORAS[[#This Row],[Fecha Recibido]]="","",IF(NETWORKDAYS(MEJORAS[[#This Row],[Fecha entrega]],MEJORAS[[#This Row],[Fecha Recibido]])&lt;=5,1,0))</f>
        <v/>
      </c>
      <c r="U14" s="72" t="str">
        <f>IF(MEJORAS[[#This Row],[Fecha entrega]]="","",TEXT(MEJORAS[[#This Row],[Fecha entrega]],"MMMM"))</f>
        <v/>
      </c>
      <c r="V14" s="72" t="str">
        <f>IF(MEJORAS[[#This Row],[Fecha entrega]]="","",YEAR(MEJORAS[[#This Row],[Fecha entrega]]))</f>
        <v/>
      </c>
      <c r="W14" s="72" t="str">
        <f>IF(MEJORAS[[#This Row],[Fecha Recibido]]="","",TEXT(MEJORAS[[#This Row],[Fecha Recibido]],"mmmm"))</f>
        <v/>
      </c>
      <c r="X14" s="72" t="str">
        <f>IF(MEJORAS[[#This Row],[Fecha Recibido]]="","",YEAR(MEJORAS[[#This Row],[Fecha Recibido]]))</f>
        <v/>
      </c>
      <c r="Y14" s="14" t="str">
        <f>_xlfn.CONCAT(MEJORAS[[#This Row],[ÁREA]],MEJORAS[[#This Row],[ORIGEN]])</f>
        <v>Alcantarillado y Saneamiento3-24</v>
      </c>
      <c r="Z14" s="14" t="str">
        <f>_xlfn.CONCAT(MEJORAS[[#This Row],[ÁREA]],MEJORAS[[#This Row],[ESTATUS]])</f>
        <v>Alcantarillado y SaneamientoCerrada</v>
      </c>
      <c r="AA14" s="14"/>
      <c r="AB14" s="14" t="str">
        <f ca="1">IFERROR(IF(MEJORAS[[#This Row],[FECHA DE CIERRE]]&gt;TODAY(),1,""),"")</f>
        <v/>
      </c>
      <c r="AC14" s="14" t="str">
        <f ca="1">IFERROR(IF(MEJORAS[[#This Row],[REPLANTEO '#1]]&gt;TODAY(),1,""),"")</f>
        <v/>
      </c>
      <c r="AD14" s="14" t="str">
        <f ca="1">IFERROR(IF(MEJORAS[[#This Row],[REPLANTEO '#2 "Formato de replanteo"]]&gt;TODAY(),1,""),"")</f>
        <v/>
      </c>
      <c r="AE14" s="14" t="str">
        <f ca="1">IFERROR(IF(MEJORAS[[#This Row],[REPLANTEO '#3]]&gt;TODAY(),1,""),"")</f>
        <v/>
      </c>
      <c r="AF14" s="14" t="str">
        <f>IFERROR(IF(MEJORAS[[#This Row],[ESTATUS]]="CIERRE",1,""),"")</f>
        <v/>
      </c>
      <c r="AG14" s="14">
        <f>IFERROR(IF(MEJORAS[[#This Row],[ESTATUS]]="CERRADA",1,""),"")</f>
        <v>1</v>
      </c>
      <c r="AH14" s="14">
        <f ca="1">COUNT(MEJORAS[[#This Row],[CÓDIGO 4 EN FECHA DE CIERRE ]:[CÓDIGO 9 ESTATUS CERRADA]])</f>
        <v>1</v>
      </c>
      <c r="AI14" s="14" t="str" cm="1">
        <f t="array" aca="1" ref="AI14"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4" s="14" t="str" cm="1">
        <f t="array" aca="1" ref="AJ14"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4" s="14" t="str" cm="1">
        <f t="array" aca="1" ref="AK14"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4" s="14" t="str" cm="1">
        <f t="array" aca="1" ref="AL14"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4" s="14" t="b">
        <f ca="1">IFERROR(COUNTIF(MEJORAS[[#This Row],[CÓDIGO 11 POR VENCER FECHA CIERRE]:[CÓDIGO 14 FUERA DE REPLANTEO 3]],3)=1," ")</f>
        <v>0</v>
      </c>
      <c r="AN14" s="14" t="str">
        <f>_xlfn.XLOOKUP(MEJORAS[[#This Row],[ÁREA]],AREAS[Área],AREAS[Dirección],,0)</f>
        <v>TÉCNICA</v>
      </c>
      <c r="AO14" s="71">
        <f t="shared" si="1"/>
        <v>13</v>
      </c>
      <c r="AP14"/>
      <c r="AQ14" s="13"/>
    </row>
    <row r="15" spans="2:43" ht="42">
      <c r="B15" s="14">
        <f>IF(MEJORAS[[#This Row],[FECHA DE APERTURA]]="","",YEAR(MEJORAS[[#This Row],[FECHA DE APERTURA]]))</f>
        <v>2024</v>
      </c>
      <c r="C15" s="14" t="s">
        <v>247</v>
      </c>
      <c r="D15" s="14">
        <f t="shared" si="0"/>
        <v>13</v>
      </c>
      <c r="E15" s="14"/>
      <c r="F15" s="15" t="str">
        <f>IF(MEJORAS[[#This Row],[FECHA DE APERTURA]]="","",IF(MEJORAS[[#This Row],[Columna1]]="","OM#"&amp;MEJORAS[[#This Row],[MES]]&amp;"\"&amp;YEAR(MEJORAS[[#This Row],[FECHA DE APERTURA]]),MEJORAS[[#This Row],[Columna1]]))</f>
        <v>OM#59\2024</v>
      </c>
      <c r="G15" s="17">
        <v>45580</v>
      </c>
      <c r="H15" s="18" t="s">
        <v>248</v>
      </c>
      <c r="I15" s="60">
        <v>45657</v>
      </c>
      <c r="J15" s="60">
        <v>45768</v>
      </c>
      <c r="K15" s="60"/>
      <c r="L15" s="19"/>
      <c r="M15" s="58" t="s">
        <v>15</v>
      </c>
      <c r="N15" s="57" t="s">
        <v>218</v>
      </c>
      <c r="O15" s="165" t="s">
        <v>232</v>
      </c>
      <c r="P15" s="18" t="s">
        <v>249</v>
      </c>
      <c r="Q15" s="21"/>
      <c r="R15" s="17"/>
      <c r="S15" s="17"/>
      <c r="T15" s="14" t="str">
        <f>IF(MEJORAS[[#This Row],[Fecha Recibido]]="","",IF(NETWORKDAYS(MEJORAS[[#This Row],[Fecha entrega]],MEJORAS[[#This Row],[Fecha Recibido]])&lt;=5,1,0))</f>
        <v/>
      </c>
      <c r="U15" s="14" t="str">
        <f>IF(MEJORAS[[#This Row],[Fecha entrega]]="","",TEXT(MEJORAS[[#This Row],[Fecha entrega]],"MMMM"))</f>
        <v/>
      </c>
      <c r="V15" s="14" t="str">
        <f>IF(MEJORAS[[#This Row],[Fecha entrega]]="","",YEAR(MEJORAS[[#This Row],[Fecha entrega]]))</f>
        <v/>
      </c>
      <c r="W15" s="14" t="str">
        <f>IF(MEJORAS[[#This Row],[Fecha Recibido]]="","",TEXT(MEJORAS[[#This Row],[Fecha Recibido]],"mmmm"))</f>
        <v/>
      </c>
      <c r="X15" s="14" t="str">
        <f>IF(MEJORAS[[#This Row],[Fecha Recibido]]="","",YEAR(MEJORAS[[#This Row],[Fecha Recibido]]))</f>
        <v/>
      </c>
      <c r="Y15" s="14" t="str">
        <f>_xlfn.CONCAT(MEJORAS[[#This Row],[ÁREA]],MEJORAS[[#This Row],[ORIGEN]])</f>
        <v>Comunicación e Imagen Institucional3-24</v>
      </c>
      <c r="Z15" s="14" t="str">
        <f>_xlfn.CONCAT(MEJORAS[[#This Row],[ÁREA]],MEJORAS[[#This Row],[ESTATUS]])</f>
        <v>Comunicación e Imagen InstitucionalCerrada</v>
      </c>
      <c r="AA15" s="14"/>
      <c r="AB15" s="14" t="str">
        <f ca="1">IFERROR(IF(MEJORAS[[#This Row],[FECHA DE CIERRE]]&gt;TODAY(),1,""),"")</f>
        <v/>
      </c>
      <c r="AC15" s="14" t="str">
        <f ca="1">IFERROR(IF(MEJORAS[[#This Row],[REPLANTEO '#1]]&gt;TODAY(),1,""),"")</f>
        <v/>
      </c>
      <c r="AD15" s="14" t="str">
        <f ca="1">IFERROR(IF(MEJORAS[[#This Row],[REPLANTEO '#2 "Formato de replanteo"]]&gt;TODAY(),1,""),"")</f>
        <v/>
      </c>
      <c r="AE15" s="14" t="str">
        <f ca="1">IFERROR(IF(MEJORAS[[#This Row],[REPLANTEO '#3]]&gt;TODAY(),1,""),"")</f>
        <v/>
      </c>
      <c r="AF15" s="14" t="str">
        <f>IFERROR(IF(MEJORAS[[#This Row],[ESTATUS]]="CIERRE",1,""),"")</f>
        <v/>
      </c>
      <c r="AG15" s="14">
        <f>IFERROR(IF(MEJORAS[[#This Row],[ESTATUS]]="CERRADA",1,""),"")</f>
        <v>1</v>
      </c>
      <c r="AH15" s="14">
        <f ca="1">COUNT(MEJORAS[[#This Row],[CÓDIGO 4 EN FECHA DE CIERRE ]:[CÓDIGO 9 ESTATUS CERRADA]])</f>
        <v>1</v>
      </c>
      <c r="AI15" s="14" t="str" cm="1">
        <f t="array" aca="1" ref="AI15"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5" s="14" t="str" cm="1">
        <f t="array" aca="1" ref="AJ15"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5" s="14" t="str" cm="1">
        <f t="array" aca="1" ref="AK15"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5" s="14" t="str" cm="1">
        <f t="array" aca="1" ref="AL15"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5" s="14" t="b">
        <f ca="1">IFERROR(COUNTIF(MEJORAS[[#This Row],[CÓDIGO 11 POR VENCER FECHA CIERRE]:[CÓDIGO 14 FUERA DE REPLANTEO 3]],3)=1," ")</f>
        <v>0</v>
      </c>
      <c r="AN15" s="14" t="str">
        <f>_xlfn.XLOOKUP(MEJORAS[[#This Row],[ÁREA]],AREAS[Área],AREAS[Dirección],,0)</f>
        <v>ADMINISTRATIVA</v>
      </c>
      <c r="AO15" s="71">
        <f t="shared" si="1"/>
        <v>14</v>
      </c>
      <c r="AP15"/>
      <c r="AQ15" s="13"/>
    </row>
    <row r="16" spans="2:43" ht="42">
      <c r="B16" s="14">
        <f>IF(MEJORAS[[#This Row],[FECHA DE APERTURA]]="","",YEAR(MEJORAS[[#This Row],[FECHA DE APERTURA]]))</f>
        <v>2024</v>
      </c>
      <c r="C16" s="14" t="s">
        <v>250</v>
      </c>
      <c r="D16" s="14">
        <f t="shared" si="0"/>
        <v>14</v>
      </c>
      <c r="E16" s="14"/>
      <c r="F16" s="15" t="str">
        <f>IF(MEJORAS[[#This Row],[FECHA DE APERTURA]]="","",IF(MEJORAS[[#This Row],[Columna1]]="","OM#"&amp;MEJORAS[[#This Row],[MES]]&amp;"\"&amp;YEAR(MEJORAS[[#This Row],[FECHA DE APERTURA]]),MEJORAS[[#This Row],[Columna1]]))</f>
        <v>OM#67\2024</v>
      </c>
      <c r="G16" s="17">
        <v>45595</v>
      </c>
      <c r="H16" s="18" t="s">
        <v>251</v>
      </c>
      <c r="I16" s="60">
        <v>45747</v>
      </c>
      <c r="J16" s="60"/>
      <c r="K16" s="60"/>
      <c r="L16" s="19"/>
      <c r="M16" s="19" t="s">
        <v>66</v>
      </c>
      <c r="N16" s="57" t="s">
        <v>218</v>
      </c>
      <c r="O16" s="165" t="s">
        <v>232</v>
      </c>
      <c r="P16" s="18"/>
      <c r="Q16" s="21" t="s">
        <v>157</v>
      </c>
      <c r="R16" s="17">
        <v>45757</v>
      </c>
      <c r="S16" s="17">
        <v>45757</v>
      </c>
      <c r="T16" s="72">
        <f>IF(MEJORAS[[#This Row],[Fecha Recibido]]="","",IF(NETWORKDAYS(MEJORAS[[#This Row],[Fecha entrega]],MEJORAS[[#This Row],[Fecha Recibido]])&lt;=5,1,0))</f>
        <v>1</v>
      </c>
      <c r="U16" s="72" t="str">
        <f>IF(MEJORAS[[#This Row],[Fecha entrega]]="","",TEXT(MEJORAS[[#This Row],[Fecha entrega]],"MMMM"))</f>
        <v>abril</v>
      </c>
      <c r="V16" s="72">
        <f>IF(MEJORAS[[#This Row],[Fecha entrega]]="","",YEAR(MEJORAS[[#This Row],[Fecha entrega]]))</f>
        <v>2025</v>
      </c>
      <c r="W16" s="72" t="str">
        <f>IF(MEJORAS[[#This Row],[Fecha Recibido]]="","",TEXT(MEJORAS[[#This Row],[Fecha Recibido]],"mmmm"))</f>
        <v>abril</v>
      </c>
      <c r="X16" s="72">
        <f>IF(MEJORAS[[#This Row],[Fecha Recibido]]="","",YEAR(MEJORAS[[#This Row],[Fecha Recibido]]))</f>
        <v>2025</v>
      </c>
      <c r="Y16" s="14" t="str">
        <f>_xlfn.CONCAT(MEJORAS[[#This Row],[ÁREA]],MEJORAS[[#This Row],[ORIGEN]])</f>
        <v>Control y Servicios3-24</v>
      </c>
      <c r="Z16" s="14" t="str">
        <f>_xlfn.CONCAT(MEJORAS[[#This Row],[ÁREA]],MEJORAS[[#This Row],[ESTATUS]])</f>
        <v>Control y ServiciosCerrada</v>
      </c>
      <c r="AA16" s="14"/>
      <c r="AB16" s="14" t="str">
        <f ca="1">IFERROR(IF(MEJORAS[[#This Row],[FECHA DE CIERRE]]&gt;TODAY(),1,""),"")</f>
        <v/>
      </c>
      <c r="AC16" s="14" t="str">
        <f ca="1">IFERROR(IF(MEJORAS[[#This Row],[REPLANTEO '#1]]&gt;TODAY(),1,""),"")</f>
        <v/>
      </c>
      <c r="AD16" s="14" t="str">
        <f ca="1">IFERROR(IF(MEJORAS[[#This Row],[REPLANTEO '#2 "Formato de replanteo"]]&gt;TODAY(),1,""),"")</f>
        <v/>
      </c>
      <c r="AE16" s="14" t="str">
        <f ca="1">IFERROR(IF(MEJORAS[[#This Row],[REPLANTEO '#3]]&gt;TODAY(),1,""),"")</f>
        <v/>
      </c>
      <c r="AF16" s="14" t="str">
        <f>IFERROR(IF(MEJORAS[[#This Row],[ESTATUS]]="CIERRE",1,""),"")</f>
        <v/>
      </c>
      <c r="AG16" s="14">
        <f>IFERROR(IF(MEJORAS[[#This Row],[ESTATUS]]="CERRADA",1,""),"")</f>
        <v>1</v>
      </c>
      <c r="AH16" s="14">
        <f ca="1">COUNT(MEJORAS[[#This Row],[CÓDIGO 4 EN FECHA DE CIERRE ]:[CÓDIGO 9 ESTATUS CERRADA]])</f>
        <v>1</v>
      </c>
      <c r="AI16" s="14" t="str" cm="1">
        <f t="array" aca="1" ref="AI16"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6" s="14" t="str" cm="1">
        <f t="array" aca="1" ref="AJ16"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6" s="14" t="str" cm="1">
        <f t="array" aca="1" ref="AK16"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6" s="14" t="str" cm="1">
        <f t="array" aca="1" ref="AL16"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6" s="14" t="b">
        <f ca="1">IFERROR(COUNTIF(MEJORAS[[#This Row],[CÓDIGO 11 POR VENCER FECHA CIERRE]:[CÓDIGO 14 FUERA DE REPLANTEO 3]],3)=1," ")</f>
        <v>0</v>
      </c>
      <c r="AN16" s="14" t="str">
        <f>_xlfn.XLOOKUP(MEJORAS[[#This Row],[ÁREA]],AREAS[Área],AREAS[Dirección],,0)</f>
        <v>COMERCIAL</v>
      </c>
      <c r="AO16" s="71">
        <f t="shared" si="1"/>
        <v>15</v>
      </c>
      <c r="AP16"/>
      <c r="AQ16" s="13"/>
    </row>
    <row r="17" spans="2:43" ht="42">
      <c r="B17" s="14">
        <f>IF(MEJORAS[[#This Row],[FECHA DE APERTURA]]="","",YEAR(MEJORAS[[#This Row],[FECHA DE APERTURA]]))</f>
        <v>2024</v>
      </c>
      <c r="C17" s="14" t="s">
        <v>252</v>
      </c>
      <c r="D17" s="14">
        <f t="shared" si="0"/>
        <v>15</v>
      </c>
      <c r="E17" s="14"/>
      <c r="F17" s="15" t="str">
        <f>IF(MEJORAS[[#This Row],[FECHA DE APERTURA]]="","",IF(MEJORAS[[#This Row],[Columna1]]="","OM#"&amp;MEJORAS[[#This Row],[MES]]&amp;"\"&amp;YEAR(MEJORAS[[#This Row],[FECHA DE APERTURA]]),MEJORAS[[#This Row],[Columna1]]))</f>
        <v>OM#68\2024</v>
      </c>
      <c r="G17" s="17">
        <v>45601</v>
      </c>
      <c r="H17" s="18" t="s">
        <v>253</v>
      </c>
      <c r="I17" s="60">
        <v>45736</v>
      </c>
      <c r="J17" s="60">
        <v>45808</v>
      </c>
      <c r="K17" s="60">
        <v>45932</v>
      </c>
      <c r="L17" s="19"/>
      <c r="M17" s="58" t="s">
        <v>59</v>
      </c>
      <c r="N17" s="57" t="s">
        <v>218</v>
      </c>
      <c r="O17" s="165" t="s">
        <v>232</v>
      </c>
      <c r="P17" s="21" t="s">
        <v>254</v>
      </c>
      <c r="Q17" s="21" t="s">
        <v>166</v>
      </c>
      <c r="R17" s="17">
        <v>45938</v>
      </c>
      <c r="S17" s="17"/>
      <c r="T17" s="14" t="str">
        <f>IF(MEJORAS[[#This Row],[Fecha Recibido]]="","",IF(NETWORKDAYS(MEJORAS[[#This Row],[Fecha entrega]],MEJORAS[[#This Row],[Fecha Recibido]])&lt;=5,1,0))</f>
        <v/>
      </c>
      <c r="U17" s="14" t="str">
        <f>IF(MEJORAS[[#This Row],[Fecha entrega]]="","",TEXT(MEJORAS[[#This Row],[Fecha entrega]],"MMMM"))</f>
        <v>octubre</v>
      </c>
      <c r="V17" s="14">
        <f>IF(MEJORAS[[#This Row],[Fecha entrega]]="","",YEAR(MEJORAS[[#This Row],[Fecha entrega]]))</f>
        <v>2025</v>
      </c>
      <c r="W17" s="14" t="str">
        <f>IF(MEJORAS[[#This Row],[Fecha Recibido]]="","",TEXT(MEJORAS[[#This Row],[Fecha Recibido]],"mmmm"))</f>
        <v/>
      </c>
      <c r="X17" s="14" t="str">
        <f>IF(MEJORAS[[#This Row],[Fecha Recibido]]="","",YEAR(MEJORAS[[#This Row],[Fecha Recibido]]))</f>
        <v/>
      </c>
      <c r="Y17" s="14" t="str">
        <f>_xlfn.CONCAT(MEJORAS[[#This Row],[ÁREA]],MEJORAS[[#This Row],[ORIGEN]])</f>
        <v>Órgano de Control Interno3-24</v>
      </c>
      <c r="Z17" s="14" t="str">
        <f>_xlfn.CONCAT(MEJORAS[[#This Row],[ÁREA]],MEJORAS[[#This Row],[ESTATUS]])</f>
        <v>Órgano de Control InternoCerrada</v>
      </c>
      <c r="AA17" s="14"/>
      <c r="AB17" s="14" t="str">
        <f ca="1">IFERROR(IF(MEJORAS[[#This Row],[FECHA DE CIERRE]]&gt;TODAY(),1,""),"")</f>
        <v/>
      </c>
      <c r="AC17" s="14" t="str">
        <f ca="1">IFERROR(IF(MEJORAS[[#This Row],[REPLANTEO '#1]]&gt;TODAY(),1,""),"")</f>
        <v/>
      </c>
      <c r="AD17" s="14" t="str">
        <f ca="1">IFERROR(IF(MEJORAS[[#This Row],[REPLANTEO '#2 "Formato de replanteo"]]&gt;TODAY(),1,""),"")</f>
        <v/>
      </c>
      <c r="AE17" s="14" t="str">
        <f ca="1">IFERROR(IF(MEJORAS[[#This Row],[REPLANTEO '#3]]&gt;TODAY(),1,""),"")</f>
        <v/>
      </c>
      <c r="AF17" s="14" t="str">
        <f>IFERROR(IF(MEJORAS[[#This Row],[ESTATUS]]="CIERRE",1,""),"")</f>
        <v/>
      </c>
      <c r="AG17" s="14">
        <f>IFERROR(IF(MEJORAS[[#This Row],[ESTATUS]]="CERRADA",1,""),"")</f>
        <v>1</v>
      </c>
      <c r="AH17" s="14">
        <f ca="1">COUNT(MEJORAS[[#This Row],[CÓDIGO 4 EN FECHA DE CIERRE ]:[CÓDIGO 9 ESTATUS CERRADA]])</f>
        <v>1</v>
      </c>
      <c r="AI17" s="14" t="str" cm="1">
        <f t="array" aca="1" ref="AI17"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7" s="14" t="str" cm="1">
        <f t="array" aca="1" ref="AJ17"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7" s="14" t="str" cm="1">
        <f t="array" aca="1" ref="AK17"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7" s="14" t="str" cm="1">
        <f t="array" aca="1" ref="AL17"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7" s="14" t="b">
        <f ca="1">IFERROR(COUNTIF(MEJORAS[[#This Row],[CÓDIGO 11 POR VENCER FECHA CIERRE]:[CÓDIGO 14 FUERA DE REPLANTEO 3]],3)=1," ")</f>
        <v>0</v>
      </c>
      <c r="AN17" s="14" t="str">
        <f>_xlfn.XLOOKUP(MEJORAS[[#This Row],[ÁREA]],AREAS[Área],AREAS[Dirección],,0)</f>
        <v>ÓRGANO DE CONTROL INTERNO</v>
      </c>
      <c r="AO17" s="71">
        <f t="shared" si="1"/>
        <v>16</v>
      </c>
      <c r="AP17"/>
      <c r="AQ17" s="13"/>
    </row>
    <row r="18" spans="2:43" ht="21">
      <c r="B18" s="14">
        <f>IF(MEJORAS[[#This Row],[FECHA DE APERTURA]]="","",YEAR(MEJORAS[[#This Row],[FECHA DE APERTURA]]))</f>
        <v>2024</v>
      </c>
      <c r="C18" s="14" t="s">
        <v>255</v>
      </c>
      <c r="D18" s="14">
        <f t="shared" si="0"/>
        <v>16</v>
      </c>
      <c r="E18" s="14"/>
      <c r="F18" s="15" t="str">
        <f>IF(MEJORAS[[#This Row],[FECHA DE APERTURA]]="","",IF(MEJORAS[[#This Row],[Columna1]]="","OM#"&amp;MEJORAS[[#This Row],[MES]]&amp;"\"&amp;YEAR(MEJORAS[[#This Row],[FECHA DE APERTURA]]),MEJORAS[[#This Row],[Columna1]]))</f>
        <v>OM#66\2024</v>
      </c>
      <c r="G18" s="17">
        <v>45603</v>
      </c>
      <c r="H18" s="18" t="s">
        <v>256</v>
      </c>
      <c r="I18" s="60">
        <v>45716</v>
      </c>
      <c r="J18" s="60"/>
      <c r="K18" s="60"/>
      <c r="L18" s="19"/>
      <c r="M18" s="58" t="s">
        <v>42</v>
      </c>
      <c r="N18" s="57" t="s">
        <v>218</v>
      </c>
      <c r="O18" s="165" t="s">
        <v>232</v>
      </c>
      <c r="P18" s="21"/>
      <c r="Q18" s="21"/>
      <c r="R18" s="17"/>
      <c r="S18" s="17"/>
      <c r="T18" s="14" t="str">
        <f>IF(MEJORAS[[#This Row],[Fecha Recibido]]="","",IF(NETWORKDAYS(MEJORAS[[#This Row],[Fecha entrega]],MEJORAS[[#This Row],[Fecha Recibido]])&lt;=5,1,0))</f>
        <v/>
      </c>
      <c r="U18" s="14" t="str">
        <f>IF(MEJORAS[[#This Row],[Fecha entrega]]="","",TEXT(MEJORAS[[#This Row],[Fecha entrega]],"MMMM"))</f>
        <v/>
      </c>
      <c r="V18" s="14" t="str">
        <f>IF(MEJORAS[[#This Row],[Fecha entrega]]="","",YEAR(MEJORAS[[#This Row],[Fecha entrega]]))</f>
        <v/>
      </c>
      <c r="W18" s="14" t="str">
        <f>IF(MEJORAS[[#This Row],[Fecha Recibido]]="","",TEXT(MEJORAS[[#This Row],[Fecha Recibido]],"mmmm"))</f>
        <v/>
      </c>
      <c r="X18" s="14" t="str">
        <f>IF(MEJORAS[[#This Row],[Fecha Recibido]]="","",YEAR(MEJORAS[[#This Row],[Fecha Recibido]]))</f>
        <v/>
      </c>
      <c r="Y18" s="14" t="str">
        <f>_xlfn.CONCAT(MEJORAS[[#This Row],[ÁREA]],MEJORAS[[#This Row],[ORIGEN]])</f>
        <v>Jurídico3-24</v>
      </c>
      <c r="Z18" s="14" t="str">
        <f>_xlfn.CONCAT(MEJORAS[[#This Row],[ÁREA]],MEJORAS[[#This Row],[ESTATUS]])</f>
        <v>JurídicoCerrada</v>
      </c>
      <c r="AA18" s="14"/>
      <c r="AB18" s="14" t="str">
        <f ca="1">IFERROR(IF(MEJORAS[[#This Row],[FECHA DE CIERRE]]&gt;TODAY(),1,""),"")</f>
        <v/>
      </c>
      <c r="AC18" s="14" t="str">
        <f ca="1">IFERROR(IF(MEJORAS[[#This Row],[REPLANTEO '#1]]&gt;TODAY(),1,""),"")</f>
        <v/>
      </c>
      <c r="AD18" s="14" t="str">
        <f ca="1">IFERROR(IF(MEJORAS[[#This Row],[REPLANTEO '#2 "Formato de replanteo"]]&gt;TODAY(),1,""),"")</f>
        <v/>
      </c>
      <c r="AE18" s="14" t="str">
        <f ca="1">IFERROR(IF(MEJORAS[[#This Row],[REPLANTEO '#3]]&gt;TODAY(),1,""),"")</f>
        <v/>
      </c>
      <c r="AF18" s="14" t="str">
        <f>IFERROR(IF(MEJORAS[[#This Row],[ESTATUS]]="CIERRE",1,""),"")</f>
        <v/>
      </c>
      <c r="AG18" s="14">
        <f>IFERROR(IF(MEJORAS[[#This Row],[ESTATUS]]="CERRADA",1,""),"")</f>
        <v>1</v>
      </c>
      <c r="AH18" s="14">
        <f ca="1">COUNT(MEJORAS[[#This Row],[CÓDIGO 4 EN FECHA DE CIERRE ]:[CÓDIGO 9 ESTATUS CERRADA]])</f>
        <v>1</v>
      </c>
      <c r="AI18" s="14" t="str" cm="1">
        <f t="array" aca="1" ref="AI18"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8" s="14" t="str" cm="1">
        <f t="array" aca="1" ref="AJ18"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8" s="14" t="str" cm="1">
        <f t="array" aca="1" ref="AK18"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8" s="14" t="str" cm="1">
        <f t="array" aca="1" ref="AL18"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8" s="14" t="b">
        <f ca="1">IFERROR(COUNTIF(MEJORAS[[#This Row],[CÓDIGO 11 POR VENCER FECHA CIERRE]:[CÓDIGO 14 FUERA DE REPLANTEO 3]],3)=1," ")</f>
        <v>0</v>
      </c>
      <c r="AN18" s="14" t="str">
        <f>_xlfn.XLOOKUP(MEJORAS[[#This Row],[ÁREA]],AREAS[Área],AREAS[Dirección],,0)</f>
        <v>JURÍDICA</v>
      </c>
      <c r="AO18" s="71">
        <f t="shared" si="1"/>
        <v>17</v>
      </c>
      <c r="AP18"/>
      <c r="AQ18" s="13"/>
    </row>
    <row r="19" spans="2:43">
      <c r="B19" s="14" t="str">
        <f>IF(MEJORAS[[#This Row],[FECHA DE APERTURA]]="","",YEAR(MEJORAS[[#This Row],[FECHA DE APERTURA]]))</f>
        <v/>
      </c>
      <c r="C19" s="14"/>
      <c r="D19" s="14">
        <f t="shared" si="0"/>
        <v>1</v>
      </c>
      <c r="E19" s="14"/>
      <c r="F19" s="15" t="str">
        <f>IF(MEJORAS[[#This Row],[FECHA DE APERTURA]]="","",IF(MEJORAS[[#This Row],[Columna1]]="","OM#"&amp;MEJORAS[[#This Row],[MES]]&amp;"\"&amp;YEAR(MEJORAS[[#This Row],[FECHA DE APERTURA]]),MEJORAS[[#This Row],[Columna1]]))</f>
        <v/>
      </c>
      <c r="G19" s="17"/>
      <c r="H19" s="117" t="s">
        <v>257</v>
      </c>
      <c r="I19" s="60"/>
      <c r="J19" s="60"/>
      <c r="K19" s="60"/>
      <c r="L19" s="19"/>
      <c r="M19" s="20"/>
      <c r="N19" s="57"/>
      <c r="O19" s="165"/>
      <c r="P19" s="18"/>
      <c r="Q19" s="21"/>
      <c r="R19" s="17"/>
      <c r="S19" s="17"/>
      <c r="T19" s="72" t="str">
        <f>IF(MEJORAS[[#This Row],[Fecha Recibido]]="","",IF(NETWORKDAYS(MEJORAS[[#This Row],[Fecha entrega]],MEJORAS[[#This Row],[Fecha Recibido]])&lt;=5,1,0))</f>
        <v/>
      </c>
      <c r="U19" s="72" t="str">
        <f>IF(MEJORAS[[#This Row],[Fecha entrega]]="","",TEXT(MEJORAS[[#This Row],[Fecha entrega]],"MMMM"))</f>
        <v/>
      </c>
      <c r="V19" s="72" t="str">
        <f>IF(MEJORAS[[#This Row],[Fecha entrega]]="","",YEAR(MEJORAS[[#This Row],[Fecha entrega]]))</f>
        <v/>
      </c>
      <c r="W19" s="72" t="str">
        <f>IF(MEJORAS[[#This Row],[Fecha Recibido]]="","",TEXT(MEJORAS[[#This Row],[Fecha Recibido]],"mmmm"))</f>
        <v/>
      </c>
      <c r="X19" s="72" t="str">
        <f>IF(MEJORAS[[#This Row],[Fecha Recibido]]="","",YEAR(MEJORAS[[#This Row],[Fecha Recibido]]))</f>
        <v/>
      </c>
      <c r="Y19" s="14" t="str">
        <f>_xlfn.CONCAT(MEJORAS[[#This Row],[ÁREA]],MEJORAS[[#This Row],[ORIGEN]])</f>
        <v/>
      </c>
      <c r="Z19" s="14" t="str">
        <f>_xlfn.CONCAT(MEJORAS[[#This Row],[ÁREA]],MEJORAS[[#This Row],[ESTATUS]])</f>
        <v/>
      </c>
      <c r="AA19" s="14"/>
      <c r="AB19" s="14" t="str">
        <f ca="1">IFERROR(IF(MEJORAS[[#This Row],[FECHA DE CIERRE]]&gt;TODAY(),1,""),"")</f>
        <v/>
      </c>
      <c r="AC19" s="14" t="str">
        <f ca="1">IFERROR(IF(MEJORAS[[#This Row],[REPLANTEO '#1]]&gt;TODAY(),1,""),"")</f>
        <v/>
      </c>
      <c r="AD19" s="14" t="str">
        <f ca="1">IFERROR(IF(MEJORAS[[#This Row],[REPLANTEO '#2 "Formato de replanteo"]]&gt;TODAY(),1,""),"")</f>
        <v/>
      </c>
      <c r="AE19" s="14" t="str">
        <f ca="1">IFERROR(IF(MEJORAS[[#This Row],[REPLANTEO '#3]]&gt;TODAY(),1,""),"")</f>
        <v/>
      </c>
      <c r="AF19" s="14" t="str">
        <f>IFERROR(IF(MEJORAS[[#This Row],[ESTATUS]]="CIERRE",1,""),"")</f>
        <v/>
      </c>
      <c r="AG19" s="14" t="str">
        <f>IFERROR(IF(MEJORAS[[#This Row],[ESTATUS]]="CERRADA",1,""),"")</f>
        <v/>
      </c>
      <c r="AH19" s="14">
        <f ca="1">COUNT(MEJORAS[[#This Row],[CÓDIGO 4 EN FECHA DE CIERRE ]:[CÓDIGO 9 ESTATUS CERRADA]])</f>
        <v>0</v>
      </c>
      <c r="AI19" s="14" t="str" cm="1">
        <f t="array" aca="1" ref="AI19"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19" s="14" t="str" cm="1">
        <f t="array" aca="1" ref="AJ19"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19" s="14" t="str" cm="1">
        <f t="array" aca="1" ref="AK19"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19" s="14" t="str" cm="1">
        <f t="array" aca="1" ref="AL19"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19" s="14" t="b">
        <f ca="1">IFERROR(COUNTIF(MEJORAS[[#This Row],[CÓDIGO 11 POR VENCER FECHA CIERRE]:[CÓDIGO 14 FUERA DE REPLANTEO 3]],3)=1," ")</f>
        <v>0</v>
      </c>
      <c r="AN19" s="14">
        <f>_xlfn.XLOOKUP(MEJORAS[[#This Row],[ÁREA]],AREAS[Área],AREAS[Dirección],,0)</f>
        <v>0</v>
      </c>
      <c r="AO19" s="71">
        <f t="shared" si="1"/>
        <v>18</v>
      </c>
    </row>
    <row r="20" spans="2:43" ht="36" customHeight="1">
      <c r="B20" s="14">
        <f>IF(MEJORAS[[#This Row],[FECHA DE APERTURA]]="","",YEAR(MEJORAS[[#This Row],[FECHA DE APERTURA]]))</f>
        <v>2025</v>
      </c>
      <c r="C20" s="14"/>
      <c r="D20" s="14">
        <f t="shared" si="0"/>
        <v>1</v>
      </c>
      <c r="E20" s="14"/>
      <c r="F20" s="15" t="str">
        <f>IF(MEJORAS[[#This Row],[FECHA DE APERTURA]]="","",IF(MEJORAS[[#This Row],[Columna1]]="","OM#"&amp;MEJORAS[[#This Row],[MES]]&amp;"\"&amp;YEAR(MEJORAS[[#This Row],[FECHA DE APERTURA]]),MEJORAS[[#This Row],[Columna1]]))</f>
        <v>OM#1\2025</v>
      </c>
      <c r="G20" s="17">
        <v>45667</v>
      </c>
      <c r="H20" s="18" t="s">
        <v>258</v>
      </c>
      <c r="I20" s="60">
        <v>45747</v>
      </c>
      <c r="J20" s="60"/>
      <c r="K20" s="60"/>
      <c r="L20" s="19"/>
      <c r="M20" s="20" t="s">
        <v>96</v>
      </c>
      <c r="N20" s="57" t="s">
        <v>218</v>
      </c>
      <c r="O20" s="165" t="s">
        <v>259</v>
      </c>
      <c r="P20" s="21"/>
      <c r="Q20" s="21" t="s">
        <v>170</v>
      </c>
      <c r="R20" s="17">
        <v>45756</v>
      </c>
      <c r="S20" s="17" t="s">
        <v>260</v>
      </c>
      <c r="T20" s="14">
        <f>IF(MEJORAS[[#This Row],[Fecha Recibido]]="","",IF(NETWORKDAYS(MEJORAS[[#This Row],[Fecha entrega]],MEJORAS[[#This Row],[Fecha Recibido]])&lt;=5,1,0))</f>
        <v>1</v>
      </c>
      <c r="U20" s="14" t="str">
        <f>IF(MEJORAS[[#This Row],[Fecha entrega]]="","",TEXT(MEJORAS[[#This Row],[Fecha entrega]],"MMMM"))</f>
        <v>abril</v>
      </c>
      <c r="V20" s="14">
        <f>IF(MEJORAS[[#This Row],[Fecha entrega]]="","",YEAR(MEJORAS[[#This Row],[Fecha entrega]]))</f>
        <v>2025</v>
      </c>
      <c r="W20" s="14" t="str">
        <f>IF(MEJORAS[[#This Row],[Fecha Recibido]]="","",TEXT(MEJORAS[[#This Row],[Fecha Recibido]],"mmmm"))</f>
        <v>abril</v>
      </c>
      <c r="X20" s="14">
        <f>IF(MEJORAS[[#This Row],[Fecha Recibido]]="","",YEAR(MEJORAS[[#This Row],[Fecha Recibido]]))</f>
        <v>2025</v>
      </c>
      <c r="Y20" s="14" t="str">
        <f>_xlfn.CONCAT(MEJORAS[[#This Row],[ÁREA]],MEJORAS[[#This Row],[ORIGEN]])</f>
        <v>Sectorización hidrométrica e innovación1-25</v>
      </c>
      <c r="Z20" s="14" t="str">
        <f>_xlfn.CONCAT(MEJORAS[[#This Row],[ÁREA]],MEJORAS[[#This Row],[ORIGEN]])</f>
        <v>Sectorización hidrométrica e innovación1-25</v>
      </c>
      <c r="AA20" s="14" t="str">
        <f>_xlfn.CONCAT(MEJORAS[[#This Row],[ÁREA]],MEJORAS[[#This Row],[ESTATUS]])</f>
        <v>Sectorización hidrométrica e innovaciónCerrada</v>
      </c>
      <c r="AB20" s="14" t="str">
        <f ca="1">IFERROR(IF(MEJORAS[[#This Row],[FECHA DE CIERRE]]&gt;TODAY(),1,""),"")</f>
        <v/>
      </c>
      <c r="AC20" s="14" t="str">
        <f ca="1">IFERROR(IF(MEJORAS[[#This Row],[FECHA DE CIERRE]]&gt;TODAY(),1,""),"")</f>
        <v/>
      </c>
      <c r="AD20" s="14" t="str">
        <f ca="1">IFERROR(IF(MEJORAS[[#This Row],[REPLANTEO '#1]]&gt;TODAY(),1,""),"")</f>
        <v/>
      </c>
      <c r="AE20" s="14" t="str">
        <f ca="1">IFERROR(IF(MEJORAS[[#This Row],[REPLANTEO '#2 "Formato de replanteo"]]&gt;TODAY(),1,""),"")</f>
        <v/>
      </c>
      <c r="AF20" s="14" t="str">
        <f ca="1">IFERROR(IF(MEJORAS[[#This Row],[REPLANTEO '#3]]&gt;TODAY(),1,""),"")</f>
        <v/>
      </c>
      <c r="AG20" s="14" t="str">
        <f>IFERROR(IF(MEJORAS[[#This Row],[ESTATUS]]="CIERRE",1,""),"")</f>
        <v/>
      </c>
      <c r="AH20" s="14">
        <f>IFERROR(IF(MEJORAS[[#This Row],[ESTATUS]]="CERRADA",1,""),"")</f>
        <v>1</v>
      </c>
      <c r="AI20" s="14">
        <f ca="1">COUNT(MEJORAS[[#This Row],[CÓDIGO 4 EN FECHA DE CIERRE ]:[CÓDIGO 9 ESTATUS CERRADA]])</f>
        <v>0</v>
      </c>
      <c r="AJ20" s="14" t="str" cm="1">
        <f t="array" aca="1" ref="AJ20"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K20" s="14" t="str" cm="1">
        <f t="array" aca="1" ref="AK20"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L20" s="14" t="str" cm="1">
        <f t="array" aca="1" ref="AL20"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M20" s="14" t="str" cm="1">
        <f t="array" aca="1" ref="AM20"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N20" s="14" t="str">
        <f>_xlfn.XLOOKUP(MEJORAS[[#This Row],[ÁREA]],AREAS[Área],AREAS[Dirección],,0)</f>
        <v>TÉCNICA</v>
      </c>
      <c r="AO20" s="71">
        <f t="shared" si="1"/>
        <v>19</v>
      </c>
    </row>
    <row r="21" spans="2:43" ht="28.5" customHeight="1">
      <c r="B21" s="14">
        <f>IF(MEJORAS[[#This Row],[FECHA DE APERTURA]]="","",YEAR(MEJORAS[[#This Row],[FECHA DE APERTURA]]))</f>
        <v>2025</v>
      </c>
      <c r="C21" s="14"/>
      <c r="D21" s="14">
        <f t="shared" si="0"/>
        <v>2</v>
      </c>
      <c r="E21" s="14"/>
      <c r="F21" s="15" t="str">
        <f>IF(MEJORAS[[#This Row],[FECHA DE APERTURA]]="","",IF(MEJORAS[[#This Row],[Columna1]]="","OM#"&amp;MEJORAS[[#This Row],[MES]]&amp;"\"&amp;YEAR(MEJORAS[[#This Row],[FECHA DE APERTURA]]),MEJORAS[[#This Row],[Columna1]]))</f>
        <v>OM#2\2025</v>
      </c>
      <c r="G21" s="17">
        <v>45667</v>
      </c>
      <c r="H21" s="18" t="s">
        <v>261</v>
      </c>
      <c r="I21" s="60">
        <v>45797</v>
      </c>
      <c r="J21" s="60"/>
      <c r="K21" s="60"/>
      <c r="L21" s="19"/>
      <c r="M21" s="20" t="s">
        <v>104</v>
      </c>
      <c r="N21" s="57" t="s">
        <v>218</v>
      </c>
      <c r="O21" s="165" t="s">
        <v>259</v>
      </c>
      <c r="P21" s="21"/>
      <c r="Q21" s="21" t="s">
        <v>162</v>
      </c>
      <c r="R21" s="17">
        <v>45751</v>
      </c>
      <c r="S21" s="17">
        <v>45751</v>
      </c>
      <c r="T21" s="14">
        <f>IF(MEJORAS[[#This Row],[Fecha Recibido]]="","",IF(NETWORKDAYS(MEJORAS[[#This Row],[Fecha entrega]],MEJORAS[[#This Row],[Fecha Recibido]])&lt;=5,1,0))</f>
        <v>1</v>
      </c>
      <c r="U21" s="14" t="str">
        <f>IF(MEJORAS[[#This Row],[Fecha entrega]]="","",TEXT(MEJORAS[[#This Row],[Fecha entrega]],"MMMM"))</f>
        <v>abril</v>
      </c>
      <c r="V21" s="14">
        <f>IF(MEJORAS[[#This Row],[Fecha entrega]]="","",YEAR(MEJORAS[[#This Row],[Fecha entrega]]))</f>
        <v>2025</v>
      </c>
      <c r="W21" s="14" t="str">
        <f>IF(MEJORAS[[#This Row],[Fecha Recibido]]="","",TEXT(MEJORAS[[#This Row],[Fecha Recibido]],"mmmm"))</f>
        <v>abril</v>
      </c>
      <c r="X21" s="14">
        <f>IF(MEJORAS[[#This Row],[Fecha Recibido]]="","",YEAR(MEJORAS[[#This Row],[Fecha Recibido]]))</f>
        <v>2025</v>
      </c>
      <c r="Y21" s="14" t="str">
        <f>_xlfn.CONCAT(MEJORAS[[#This Row],[ÁREA]],MEJORAS[[#This Row],[ORIGEN]])</f>
        <v>Trámites Técnicos1-25</v>
      </c>
      <c r="Z21" s="14" t="str">
        <f>_xlfn.CONCAT(MEJORAS[[#This Row],[ÁREA]],MEJORAS[[#This Row],[ORIGEN]])</f>
        <v>Trámites Técnicos1-25</v>
      </c>
      <c r="AA21" s="14" t="str">
        <f>_xlfn.CONCAT(MEJORAS[[#This Row],[ÁREA]],MEJORAS[[#This Row],[ESTATUS]])</f>
        <v>Trámites TécnicosCerrada</v>
      </c>
      <c r="AB21" s="14" t="str">
        <f ca="1">IFERROR(IF(MEJORAS[[#This Row],[FECHA DE CIERRE]]&gt;TODAY(),1,""),"")</f>
        <v/>
      </c>
      <c r="AC21" s="14" t="str">
        <f ca="1">IFERROR(IF(MEJORAS[[#This Row],[FECHA DE CIERRE]]&gt;TODAY(),1,""),"")</f>
        <v/>
      </c>
      <c r="AD21" s="14" t="str">
        <f ca="1">IFERROR(IF(MEJORAS[[#This Row],[REPLANTEO '#1]]&gt;TODAY(),1,""),"")</f>
        <v/>
      </c>
      <c r="AE21" s="14" t="str">
        <f ca="1">IFERROR(IF(MEJORAS[[#This Row],[REPLANTEO '#2 "Formato de replanteo"]]&gt;TODAY(),1,""),"")</f>
        <v/>
      </c>
      <c r="AF21" s="14" t="str">
        <f ca="1">IFERROR(IF(MEJORAS[[#This Row],[REPLANTEO '#3]]&gt;TODAY(),1,""),"")</f>
        <v/>
      </c>
      <c r="AG21" s="14" t="str">
        <f>IFERROR(IF(MEJORAS[[#This Row],[ESTATUS]]="CIERRE",1,""),"")</f>
        <v/>
      </c>
      <c r="AH21" s="14">
        <f>IFERROR(IF(MEJORAS[[#This Row],[ESTATUS]]="CERRADA",1,""),"")</f>
        <v>1</v>
      </c>
      <c r="AI21" s="14">
        <f ca="1">COUNT(MEJORAS[[#This Row],[CÓDIGO 4 EN FECHA DE CIERRE ]:[CÓDIGO 9 ESTATUS CERRADA]])</f>
        <v>0</v>
      </c>
      <c r="AJ21" s="14" t="str" cm="1">
        <f t="array" aca="1" ref="AJ21"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K21" s="14" t="str" cm="1">
        <f t="array" aca="1" ref="AK21"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L21" s="14" t="str" cm="1">
        <f t="array" aca="1" ref="AL21"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M21" s="14" t="str" cm="1">
        <f t="array" aca="1" ref="AM21"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N21" s="14" t="str">
        <f>_xlfn.XLOOKUP(MEJORAS[[#This Row],[ÁREA]],AREAS[Área],AREAS[Dirección],,0)</f>
        <v>TÉCNICA</v>
      </c>
      <c r="AO21" s="71">
        <f t="shared" si="1"/>
        <v>20</v>
      </c>
    </row>
    <row r="22" spans="2:43" ht="29.25" customHeight="1">
      <c r="B22" s="14">
        <f>IF(MEJORAS[[#This Row],[FECHA DE APERTURA]]="","",YEAR(MEJORAS[[#This Row],[FECHA DE APERTURA]]))</f>
        <v>2025</v>
      </c>
      <c r="C22" s="14"/>
      <c r="D22" s="14">
        <f t="shared" si="0"/>
        <v>3</v>
      </c>
      <c r="E22" s="14"/>
      <c r="F22" s="15" t="str">
        <f>IF(MEJORAS[[#This Row],[FECHA DE APERTURA]]="","",IF(MEJORAS[[#This Row],[Columna1]]="","OM#"&amp;MEJORAS[[#This Row],[MES]]&amp;"\"&amp;YEAR(MEJORAS[[#This Row],[FECHA DE APERTURA]]),MEJORAS[[#This Row],[Columna1]]))</f>
        <v>OM#3\2025</v>
      </c>
      <c r="G22" s="17">
        <v>45680</v>
      </c>
      <c r="H22" s="18" t="s">
        <v>262</v>
      </c>
      <c r="I22" s="60">
        <v>45777</v>
      </c>
      <c r="J22" s="60">
        <v>45961</v>
      </c>
      <c r="K22" s="60"/>
      <c r="L22" s="19"/>
      <c r="M22" s="20" t="s">
        <v>69</v>
      </c>
      <c r="N22" s="57" t="s">
        <v>218</v>
      </c>
      <c r="O22" s="165" t="s">
        <v>259</v>
      </c>
      <c r="P22" s="21" t="s">
        <v>263</v>
      </c>
      <c r="Q22" s="21" t="s">
        <v>169</v>
      </c>
      <c r="R22" s="17">
        <v>45965</v>
      </c>
      <c r="S22" s="17">
        <v>45966</v>
      </c>
      <c r="T22" s="14">
        <f>IF(MEJORAS[[#This Row],[Fecha Recibido]]="","",IF(NETWORKDAYS(MEJORAS[[#This Row],[Fecha entrega]],MEJORAS[[#This Row],[Fecha Recibido]])&lt;=5,1,0))</f>
        <v>1</v>
      </c>
      <c r="U22" s="14" t="str">
        <f>IF(MEJORAS[[#This Row],[Fecha entrega]]="","",TEXT(MEJORAS[[#This Row],[Fecha entrega]],"MMMM"))</f>
        <v>noviembre</v>
      </c>
      <c r="V22" s="14">
        <f>IF(MEJORAS[[#This Row],[Fecha entrega]]="","",YEAR(MEJORAS[[#This Row],[Fecha entrega]]))</f>
        <v>2025</v>
      </c>
      <c r="W22" s="14" t="str">
        <f>IF(MEJORAS[[#This Row],[Fecha Recibido]]="","",TEXT(MEJORAS[[#This Row],[Fecha Recibido]],"mmmm"))</f>
        <v>noviembre</v>
      </c>
      <c r="X22" s="14">
        <f>IF(MEJORAS[[#This Row],[Fecha Recibido]]="","",YEAR(MEJORAS[[#This Row],[Fecha Recibido]]))</f>
        <v>2025</v>
      </c>
      <c r="Y22" s="14" t="str">
        <f>_xlfn.CONCAT(MEJORAS[[#This Row],[ÁREA]],MEJORAS[[#This Row],[ORIGEN]])</f>
        <v>Proyectos e Infraestructura1-25</v>
      </c>
      <c r="Z22" s="14" t="str">
        <f>_xlfn.CONCAT(MEJORAS[[#This Row],[ÁREA]],MEJORAS[[#This Row],[ESTATUS]])</f>
        <v>Proyectos e InfraestructuraCerrada</v>
      </c>
      <c r="AA22" s="14"/>
      <c r="AB22" s="14" t="str">
        <f ca="1">IFERROR(IF(MEJORAS[[#This Row],[FECHA DE CIERRE]]&gt;TODAY(),1,""),"")</f>
        <v/>
      </c>
      <c r="AC22" s="14" t="str">
        <f ca="1">IFERROR(IF(MEJORAS[[#This Row],[REPLANTEO '#1]]&gt;TODAY(),1,""),"")</f>
        <v/>
      </c>
      <c r="AD22" s="14" t="str">
        <f ca="1">IFERROR(IF(MEJORAS[[#This Row],[REPLANTEO '#2 "Formato de replanteo"]]&gt;TODAY(),1,""),"")</f>
        <v/>
      </c>
      <c r="AE22" s="14" t="str">
        <f ca="1">IFERROR(IF(MEJORAS[[#This Row],[REPLANTEO '#3]]&gt;TODAY(),1,""),"")</f>
        <v/>
      </c>
      <c r="AF22" s="14" t="str">
        <f>IFERROR(IF(MEJORAS[[#This Row],[ESTATUS]]="CIERRE",1,""),"")</f>
        <v/>
      </c>
      <c r="AG22" s="14">
        <f>IFERROR(IF(MEJORAS[[#This Row],[ESTATUS]]="CERRADA",1,""),"")</f>
        <v>1</v>
      </c>
      <c r="AH22" s="14">
        <f ca="1">COUNT(MEJORAS[[#This Row],[CÓDIGO 4 EN FECHA DE CIERRE ]:[CÓDIGO 9 ESTATUS CERRADA]])</f>
        <v>1</v>
      </c>
      <c r="AI22" s="14" t="str" cm="1">
        <f t="array" aca="1" ref="AI22"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2" s="14" t="str" cm="1">
        <f t="array" aca="1" ref="AJ22"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2" s="14" t="str" cm="1">
        <f t="array" aca="1" ref="AK22"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2" s="14" t="str" cm="1">
        <f t="array" aca="1" ref="AL22"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2" s="14" t="b">
        <f ca="1">IFERROR(COUNTIF(MEJORAS[[#This Row],[CÓDIGO 11 POR VENCER FECHA CIERRE]:[CÓDIGO 14 FUERA DE REPLANTEO 3]],3)=1," ")</f>
        <v>0</v>
      </c>
      <c r="AN22" s="14" t="str">
        <f>_xlfn.XLOOKUP(MEJORAS[[#This Row],[ÁREA]],AREAS[Área],AREAS[Dirección],,0)</f>
        <v>TÉCNICA</v>
      </c>
      <c r="AO22" s="71">
        <f t="shared" si="1"/>
        <v>21</v>
      </c>
    </row>
    <row r="23" spans="2:43" ht="42.75" customHeight="1">
      <c r="B23" s="14">
        <f>IF(MEJORAS[[#This Row],[FECHA DE APERTURA]]="","",YEAR(MEJORAS[[#This Row],[FECHA DE APERTURA]]))</f>
        <v>2025</v>
      </c>
      <c r="C23" s="14"/>
      <c r="D23" s="14">
        <f t="shared" si="0"/>
        <v>4</v>
      </c>
      <c r="E23" s="14"/>
      <c r="F23" s="15" t="str">
        <f>IF(MEJORAS[[#This Row],[FECHA DE APERTURA]]="","",IF(MEJORAS[[#This Row],[Columna1]]="","OM#"&amp;MEJORAS[[#This Row],[MES]]&amp;"\"&amp;YEAR(MEJORAS[[#This Row],[FECHA DE APERTURA]]),MEJORAS[[#This Row],[Columna1]]))</f>
        <v>OM#4\2025</v>
      </c>
      <c r="G23" s="17">
        <v>45684</v>
      </c>
      <c r="H23" s="18" t="s">
        <v>264</v>
      </c>
      <c r="I23" s="60">
        <v>45868</v>
      </c>
      <c r="J23" s="60"/>
      <c r="K23" s="60"/>
      <c r="L23" s="19"/>
      <c r="M23" s="20" t="s">
        <v>37</v>
      </c>
      <c r="N23" s="57" t="s">
        <v>218</v>
      </c>
      <c r="O23" s="165" t="s">
        <v>259</v>
      </c>
      <c r="P23" s="21"/>
      <c r="Q23" s="21"/>
      <c r="R23" s="17"/>
      <c r="S23" s="17"/>
      <c r="T23" s="14" t="str">
        <f>IF(MEJORAS[[#This Row],[Fecha Recibido]]="","",IF(NETWORKDAYS(MEJORAS[[#This Row],[Fecha entrega]],MEJORAS[[#This Row],[Fecha Recibido]])&lt;=5,1,0))</f>
        <v/>
      </c>
      <c r="U23" s="14" t="str">
        <f>IF(MEJORAS[[#This Row],[Fecha entrega]]="","",TEXT(MEJORAS[[#This Row],[Fecha entrega]],"MMMM"))</f>
        <v/>
      </c>
      <c r="V23" s="14" t="str">
        <f>IF(MEJORAS[[#This Row],[Fecha entrega]]="","",YEAR(MEJORAS[[#This Row],[Fecha entrega]]))</f>
        <v/>
      </c>
      <c r="W23" s="14" t="str">
        <f>IF(MEJORAS[[#This Row],[Fecha Recibido]]="","",TEXT(MEJORAS[[#This Row],[Fecha Recibido]],"mmmm"))</f>
        <v/>
      </c>
      <c r="X23" s="14" t="str">
        <f>IF(MEJORAS[[#This Row],[Fecha Recibido]]="","",YEAR(MEJORAS[[#This Row],[Fecha Recibido]]))</f>
        <v/>
      </c>
      <c r="Y23" s="14" t="str">
        <f>_xlfn.CONCAT(MEJORAS[[#This Row],[ÁREA]],MEJORAS[[#This Row],[ORIGEN]])</f>
        <v>Informática1-25</v>
      </c>
      <c r="Z23" s="14" t="str">
        <f>_xlfn.CONCAT(MEJORAS[[#This Row],[ÁREA]],MEJORAS[[#This Row],[ESTATUS]])</f>
        <v>InformáticaCerrada</v>
      </c>
      <c r="AA23" s="14"/>
      <c r="AB23" s="14" t="str">
        <f ca="1">IFERROR(IF(MEJORAS[[#This Row],[FECHA DE CIERRE]]&gt;TODAY(),1,""),"")</f>
        <v/>
      </c>
      <c r="AC23" s="14" t="str">
        <f ca="1">IFERROR(IF(MEJORAS[[#This Row],[REPLANTEO '#1]]&gt;TODAY(),1,""),"")</f>
        <v/>
      </c>
      <c r="AD23" s="14" t="str">
        <f ca="1">IFERROR(IF(MEJORAS[[#This Row],[REPLANTEO '#2 "Formato de replanteo"]]&gt;TODAY(),1,""),"")</f>
        <v/>
      </c>
      <c r="AE23" s="14" t="str">
        <f ca="1">IFERROR(IF(MEJORAS[[#This Row],[REPLANTEO '#3]]&gt;TODAY(),1,""),"")</f>
        <v/>
      </c>
      <c r="AF23" s="14" t="str">
        <f>IFERROR(IF(MEJORAS[[#This Row],[ESTATUS]]="CIERRE",1,""),"")</f>
        <v/>
      </c>
      <c r="AG23" s="14">
        <f>IFERROR(IF(MEJORAS[[#This Row],[ESTATUS]]="CERRADA",1,""),"")</f>
        <v>1</v>
      </c>
      <c r="AH23" s="14">
        <f ca="1">COUNT(MEJORAS[[#This Row],[CÓDIGO 4 EN FECHA DE CIERRE ]:[CÓDIGO 9 ESTATUS CERRADA]])</f>
        <v>1</v>
      </c>
      <c r="AI23" s="14" t="str" cm="1">
        <f t="array" aca="1" ref="AI23"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3" s="14" t="str" cm="1">
        <f t="array" aca="1" ref="AJ23"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3" s="14" t="str" cm="1">
        <f t="array" aca="1" ref="AK23"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3" s="14" t="str" cm="1">
        <f t="array" aca="1" ref="AL23"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3" s="14" t="b">
        <f ca="1">IFERROR(COUNTIF(MEJORAS[[#This Row],[CÓDIGO 11 POR VENCER FECHA CIERRE]:[CÓDIGO 14 FUERA DE REPLANTEO 3]],3)=1," ")</f>
        <v>0</v>
      </c>
      <c r="AN23" s="14" t="str">
        <f>_xlfn.XLOOKUP(MEJORAS[[#This Row],[ÁREA]],AREAS[Área],AREAS[Dirección],,0)</f>
        <v>ADMINISTRATIVA</v>
      </c>
      <c r="AO23" s="71">
        <f t="shared" si="1"/>
        <v>22</v>
      </c>
    </row>
    <row r="24" spans="2:43" ht="25.5" customHeight="1">
      <c r="B24" s="14">
        <f>IF(MEJORAS[[#This Row],[FECHA DE APERTURA]]="","",YEAR(MEJORAS[[#This Row],[FECHA DE APERTURA]]))</f>
        <v>2025</v>
      </c>
      <c r="C24" s="14"/>
      <c r="D24" s="14">
        <f t="shared" si="0"/>
        <v>5</v>
      </c>
      <c r="E24" s="14"/>
      <c r="F24" s="15" t="str">
        <f>IF(MEJORAS[[#This Row],[FECHA DE APERTURA]]="","",IF(MEJORAS[[#This Row],[Columna1]]="","OM#"&amp;MEJORAS[[#This Row],[MES]]&amp;"\"&amp;YEAR(MEJORAS[[#This Row],[FECHA DE APERTURA]]),MEJORAS[[#This Row],[Columna1]]))</f>
        <v>OM#5\2025</v>
      </c>
      <c r="G24" s="17">
        <v>45699</v>
      </c>
      <c r="H24" s="18" t="s">
        <v>265</v>
      </c>
      <c r="I24" s="60">
        <v>45862</v>
      </c>
      <c r="J24" s="60">
        <v>45981</v>
      </c>
      <c r="K24" s="60"/>
      <c r="L24" s="19"/>
      <c r="M24" s="20" t="s">
        <v>35</v>
      </c>
      <c r="N24" s="57" t="s">
        <v>218</v>
      </c>
      <c r="O24" s="165" t="s">
        <v>259</v>
      </c>
      <c r="P24" s="21"/>
      <c r="Q24" s="21" t="s">
        <v>159</v>
      </c>
      <c r="R24" s="17">
        <v>45965</v>
      </c>
      <c r="S24" s="17">
        <v>45995</v>
      </c>
      <c r="T24" s="14">
        <f>IF(MEJORAS[[#This Row],[Fecha Recibido]]="","",IF(NETWORKDAYS(MEJORAS[[#This Row],[Fecha entrega]],MEJORAS[[#This Row],[Fecha Recibido]])&lt;=5,1,0))</f>
        <v>0</v>
      </c>
      <c r="U24" s="14" t="str">
        <f>IF(MEJORAS[[#This Row],[Fecha entrega]]="","",TEXT(MEJORAS[[#This Row],[Fecha entrega]],"MMMM"))</f>
        <v>noviembre</v>
      </c>
      <c r="V24" s="14">
        <f>IF(MEJORAS[[#This Row],[Fecha entrega]]="","",YEAR(MEJORAS[[#This Row],[Fecha entrega]]))</f>
        <v>2025</v>
      </c>
      <c r="W24" s="14" t="str">
        <f>IF(MEJORAS[[#This Row],[Fecha Recibido]]="","",TEXT(MEJORAS[[#This Row],[Fecha Recibido]],"mmmm"))</f>
        <v>diciembre</v>
      </c>
      <c r="X24" s="14">
        <f>IF(MEJORAS[[#This Row],[Fecha Recibido]]="","",YEAR(MEJORAS[[#This Row],[Fecha Recibido]]))</f>
        <v>2025</v>
      </c>
      <c r="Y24" s="14" t="str">
        <f>_xlfn.CONCAT(MEJORAS[[#This Row],[ÁREA]],MEJORAS[[#This Row],[ORIGEN]])</f>
        <v>Sistema de Gestión de Calidad1-25</v>
      </c>
      <c r="Z24" s="14" t="str">
        <f>_xlfn.CONCAT(MEJORAS[[#This Row],[ÁREA]],MEJORAS[[#This Row],[ESTATUS]])</f>
        <v>Sistema de Gestión de CalidadCerrada</v>
      </c>
      <c r="AA24" s="14"/>
      <c r="AB24" s="14" t="str">
        <f ca="1">IFERROR(IF(MEJORAS[[#This Row],[FECHA DE CIERRE]]&gt;TODAY(),1,""),"")</f>
        <v/>
      </c>
      <c r="AC24" s="14" t="str">
        <f ca="1">IFERROR(IF(MEJORAS[[#This Row],[REPLANTEO '#1]]&gt;TODAY(),1,""),"")</f>
        <v/>
      </c>
      <c r="AD24" s="14" t="str">
        <f ca="1">IFERROR(IF(MEJORAS[[#This Row],[REPLANTEO '#2 "Formato de replanteo"]]&gt;TODAY(),1,""),"")</f>
        <v/>
      </c>
      <c r="AE24" s="14" t="str">
        <f ca="1">IFERROR(IF(MEJORAS[[#This Row],[REPLANTEO '#3]]&gt;TODAY(),1,""),"")</f>
        <v/>
      </c>
      <c r="AF24" s="14" t="str">
        <f>IFERROR(IF(MEJORAS[[#This Row],[ESTATUS]]="CIERRE",1,""),"")</f>
        <v/>
      </c>
      <c r="AG24" s="14">
        <f>IFERROR(IF(MEJORAS[[#This Row],[ESTATUS]]="CERRADA",1,""),"")</f>
        <v>1</v>
      </c>
      <c r="AH24" s="14">
        <f ca="1">COUNT(MEJORAS[[#This Row],[CÓDIGO 4 EN FECHA DE CIERRE ]:[CÓDIGO 9 ESTATUS CERRADA]])</f>
        <v>1</v>
      </c>
      <c r="AI24" s="14" t="str" cm="1">
        <f t="array" aca="1" ref="AI24"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4" s="14" t="str" cm="1">
        <f t="array" aca="1" ref="AJ24"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4" s="14" t="str" cm="1">
        <f t="array" aca="1" ref="AK24"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4" s="14" t="str" cm="1">
        <f t="array" aca="1" ref="AL24"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4" s="14" t="b">
        <f ca="1">IFERROR(COUNTIF(MEJORAS[[#This Row],[CÓDIGO 11 POR VENCER FECHA CIERRE]:[CÓDIGO 14 FUERA DE REPLANTEO 3]],3)=1," ")</f>
        <v>0</v>
      </c>
      <c r="AN24" s="14" t="str">
        <f>_xlfn.XLOOKUP(MEJORAS[[#This Row],[ÁREA]],AREAS[Área],AREAS[Dirección],,0)</f>
        <v>GENERAL</v>
      </c>
      <c r="AO24" s="71">
        <f t="shared" si="1"/>
        <v>23</v>
      </c>
    </row>
    <row r="25" spans="2:43" ht="42">
      <c r="B25" s="14">
        <f>IF(MEJORAS[[#This Row],[FECHA DE APERTURA]]="","",YEAR(MEJORAS[[#This Row],[FECHA DE APERTURA]]))</f>
        <v>2025</v>
      </c>
      <c r="C25" s="14"/>
      <c r="D25" s="14">
        <f t="shared" si="0"/>
        <v>6</v>
      </c>
      <c r="E25" s="14"/>
      <c r="F25" s="15" t="str">
        <f>IF(MEJORAS[[#This Row],[FECHA DE APERTURA]]="","",IF(MEJORAS[[#This Row],[Columna1]]="","OM#"&amp;MEJORAS[[#This Row],[MES]]&amp;"\"&amp;YEAR(MEJORAS[[#This Row],[FECHA DE APERTURA]]),MEJORAS[[#This Row],[Columna1]]))</f>
        <v>OM#6\2025</v>
      </c>
      <c r="G25" s="17">
        <v>45700</v>
      </c>
      <c r="H25" s="18" t="s">
        <v>266</v>
      </c>
      <c r="I25" s="60">
        <v>45884</v>
      </c>
      <c r="J25" s="60">
        <v>45961</v>
      </c>
      <c r="K25" s="60"/>
      <c r="L25" s="19"/>
      <c r="M25" s="20" t="s">
        <v>99</v>
      </c>
      <c r="N25" s="57" t="s">
        <v>218</v>
      </c>
      <c r="O25" s="165" t="s">
        <v>259</v>
      </c>
      <c r="P25" s="21" t="s">
        <v>267</v>
      </c>
      <c r="Q25" s="21" t="s">
        <v>158</v>
      </c>
      <c r="R25" s="17">
        <v>45966</v>
      </c>
      <c r="S25" s="17">
        <v>45971</v>
      </c>
      <c r="T25" s="14">
        <f>IF(MEJORAS[[#This Row],[Fecha Recibido]]="","",IF(NETWORKDAYS(MEJORAS[[#This Row],[Fecha entrega]],MEJORAS[[#This Row],[Fecha Recibido]])&lt;=5,1,0))</f>
        <v>1</v>
      </c>
      <c r="U25" s="14" t="str">
        <f>IF(MEJORAS[[#This Row],[Fecha entrega]]="","",TEXT(MEJORAS[[#This Row],[Fecha entrega]],"MMMM"))</f>
        <v>noviembre</v>
      </c>
      <c r="V25" s="14">
        <f>IF(MEJORAS[[#This Row],[Fecha entrega]]="","",YEAR(MEJORAS[[#This Row],[Fecha entrega]]))</f>
        <v>2025</v>
      </c>
      <c r="W25" s="14" t="str">
        <f>IF(MEJORAS[[#This Row],[Fecha Recibido]]="","",TEXT(MEJORAS[[#This Row],[Fecha Recibido]],"mmmm"))</f>
        <v>noviembre</v>
      </c>
      <c r="X25" s="14">
        <f>IF(MEJORAS[[#This Row],[Fecha Recibido]]="","",YEAR(MEJORAS[[#This Row],[Fecha Recibido]]))</f>
        <v>2025</v>
      </c>
      <c r="Y25" s="14" t="str">
        <f>_xlfn.CONCAT(MEJORAS[[#This Row],[ÁREA]],MEJORAS[[#This Row],[ORIGEN]])</f>
        <v>Trabajo Social1-25</v>
      </c>
      <c r="Z25" s="14" t="str">
        <f>_xlfn.CONCAT(MEJORAS[[#This Row],[ÁREA]],MEJORAS[[#This Row],[ESTATUS]])</f>
        <v>Trabajo SocialCerrada</v>
      </c>
      <c r="AA25" s="14"/>
      <c r="AB25" s="14" t="str">
        <f ca="1">IFERROR(IF(MEJORAS[[#This Row],[FECHA DE CIERRE]]&gt;TODAY(),1,""),"")</f>
        <v/>
      </c>
      <c r="AC25" s="14" t="str">
        <f ca="1">IFERROR(IF(MEJORAS[[#This Row],[REPLANTEO '#1]]&gt;TODAY(),1,""),"")</f>
        <v/>
      </c>
      <c r="AD25" s="14" t="str">
        <f ca="1">IFERROR(IF(MEJORAS[[#This Row],[REPLANTEO '#2 "Formato de replanteo"]]&gt;TODAY(),1,""),"")</f>
        <v/>
      </c>
      <c r="AE25" s="14" t="str">
        <f ca="1">IFERROR(IF(MEJORAS[[#This Row],[REPLANTEO '#3]]&gt;TODAY(),1,""),"")</f>
        <v/>
      </c>
      <c r="AF25" s="14" t="str">
        <f>IFERROR(IF(MEJORAS[[#This Row],[ESTATUS]]="CIERRE",1,""),"")</f>
        <v/>
      </c>
      <c r="AG25" s="14">
        <f>IFERROR(IF(MEJORAS[[#This Row],[ESTATUS]]="CERRADA",1,""),"")</f>
        <v>1</v>
      </c>
      <c r="AH25" s="14">
        <f ca="1">COUNT(MEJORAS[[#This Row],[CÓDIGO 4 EN FECHA DE CIERRE ]:[CÓDIGO 9 ESTATUS CERRADA]])</f>
        <v>1</v>
      </c>
      <c r="AI25" s="14" t="str" cm="1">
        <f t="array" aca="1" ref="AI25"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5" s="14" t="str" cm="1">
        <f t="array" aca="1" ref="AJ25"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5" s="14" t="str" cm="1">
        <f t="array" aca="1" ref="AK25"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5" s="14" t="str" cm="1">
        <f t="array" aca="1" ref="AL25"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5" s="14" t="b">
        <f ca="1">IFERROR(COUNTIF(MEJORAS[[#This Row],[CÓDIGO 11 POR VENCER FECHA CIERRE]:[CÓDIGO 14 FUERA DE REPLANTEO 3]],3)=1," ")</f>
        <v>0</v>
      </c>
      <c r="AN25" s="14" t="str">
        <f>_xlfn.XLOOKUP(MEJORAS[[#This Row],[ÁREA]],AREAS[Área],AREAS[Dirección],,0)</f>
        <v>PROGRAMAS SOCIALES Y CULTURA DEL AGUA</v>
      </c>
      <c r="AO25" s="71">
        <f t="shared" si="1"/>
        <v>24</v>
      </c>
    </row>
    <row r="26" spans="2:43" ht="31.5">
      <c r="B26" s="14">
        <f>IF(MEJORAS[[#This Row],[FECHA DE APERTURA]]="","",YEAR(MEJORAS[[#This Row],[FECHA DE APERTURA]]))</f>
        <v>2025</v>
      </c>
      <c r="C26" s="14"/>
      <c r="D26" s="14">
        <f t="shared" si="0"/>
        <v>7</v>
      </c>
      <c r="E26" s="14"/>
      <c r="F26" s="15" t="str">
        <f>IF(MEJORAS[[#This Row],[FECHA DE APERTURA]]="","",IF(MEJORAS[[#This Row],[Columna1]]="","OM#"&amp;MEJORAS[[#This Row],[MES]]&amp;"\"&amp;YEAR(MEJORAS[[#This Row],[FECHA DE APERTURA]]),MEJORAS[[#This Row],[Columna1]]))</f>
        <v>OM#7\2025</v>
      </c>
      <c r="G26" s="17">
        <v>45700</v>
      </c>
      <c r="H26" s="18" t="s">
        <v>268</v>
      </c>
      <c r="I26" s="60">
        <v>45807</v>
      </c>
      <c r="J26" s="60">
        <v>45988</v>
      </c>
      <c r="K26" s="60"/>
      <c r="L26" s="19"/>
      <c r="M26" s="20" t="s">
        <v>26</v>
      </c>
      <c r="N26" s="57" t="s">
        <v>218</v>
      </c>
      <c r="O26" s="165" t="s">
        <v>259</v>
      </c>
      <c r="P26" s="21"/>
      <c r="Q26" s="21"/>
      <c r="R26" s="17"/>
      <c r="S26" s="17"/>
      <c r="T26" s="14" t="str">
        <f>IF(MEJORAS[[#This Row],[Fecha Recibido]]="","",IF(NETWORKDAYS(MEJORAS[[#This Row],[Fecha entrega]],MEJORAS[[#This Row],[Fecha Recibido]])&lt;=5,1,0))</f>
        <v/>
      </c>
      <c r="U26" s="14" t="str">
        <f>IF(MEJORAS[[#This Row],[Fecha entrega]]="","",TEXT(MEJORAS[[#This Row],[Fecha entrega]],"MMMM"))</f>
        <v/>
      </c>
      <c r="V26" s="14" t="str">
        <f>IF(MEJORAS[[#This Row],[Fecha entrega]]="","",YEAR(MEJORAS[[#This Row],[Fecha entrega]]))</f>
        <v/>
      </c>
      <c r="W26" s="14" t="str">
        <f>IF(MEJORAS[[#This Row],[Fecha Recibido]]="","",TEXT(MEJORAS[[#This Row],[Fecha Recibido]],"mmmm"))</f>
        <v/>
      </c>
      <c r="X26" s="14" t="str">
        <f>IF(MEJORAS[[#This Row],[Fecha Recibido]]="","",YEAR(MEJORAS[[#This Row],[Fecha Recibido]]))</f>
        <v/>
      </c>
      <c r="Y26" s="14" t="str">
        <f>_xlfn.CONCAT(MEJORAS[[#This Row],[ÁREA]],MEJORAS[[#This Row],[ORIGEN]])</f>
        <v>Contratos y Servicios1-25</v>
      </c>
      <c r="Z26" s="14" t="str">
        <f>_xlfn.CONCAT(MEJORAS[[#This Row],[ÁREA]],MEJORAS[[#This Row],[ESTATUS]])</f>
        <v>Contratos y ServiciosCerrada</v>
      </c>
      <c r="AA26" s="14"/>
      <c r="AB26" s="14" t="str">
        <f ca="1">IFERROR(IF(MEJORAS[[#This Row],[FECHA DE CIERRE]]&gt;TODAY(),1,""),"")</f>
        <v/>
      </c>
      <c r="AC26" s="14" t="str">
        <f ca="1">IFERROR(IF(MEJORAS[[#This Row],[REPLANTEO '#1]]&gt;TODAY(),1,""),"")</f>
        <v/>
      </c>
      <c r="AD26" s="14" t="str">
        <f ca="1">IFERROR(IF(MEJORAS[[#This Row],[REPLANTEO '#2 "Formato de replanteo"]]&gt;TODAY(),1,""),"")</f>
        <v/>
      </c>
      <c r="AE26" s="14" t="str">
        <f ca="1">IFERROR(IF(MEJORAS[[#This Row],[REPLANTEO '#3]]&gt;TODAY(),1,""),"")</f>
        <v/>
      </c>
      <c r="AF26" s="14" t="str">
        <f>IFERROR(IF(MEJORAS[[#This Row],[ESTATUS]]="CIERRE",1,""),"")</f>
        <v/>
      </c>
      <c r="AG26" s="14">
        <f>IFERROR(IF(MEJORAS[[#This Row],[ESTATUS]]="CERRADA",1,""),"")</f>
        <v>1</v>
      </c>
      <c r="AH26" s="14">
        <f ca="1">COUNT(MEJORAS[[#This Row],[CÓDIGO 4 EN FECHA DE CIERRE ]:[CÓDIGO 9 ESTATUS CERRADA]])</f>
        <v>1</v>
      </c>
      <c r="AI26" s="14" t="str" cm="1">
        <f t="array" aca="1" ref="AI26"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6" s="14" t="str" cm="1">
        <f t="array" aca="1" ref="AJ26"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6" s="14" t="str" cm="1">
        <f t="array" aca="1" ref="AK26"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6" s="14" t="str" cm="1">
        <f t="array" aca="1" ref="AL26"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6" s="14" t="b">
        <f ca="1">IFERROR(COUNTIF(MEJORAS[[#This Row],[CÓDIGO 11 POR VENCER FECHA CIERRE]:[CÓDIGO 14 FUERA DE REPLANTEO 3]],3)=1," ")</f>
        <v>0</v>
      </c>
      <c r="AN26" s="14" t="str">
        <f>_xlfn.XLOOKUP(MEJORAS[[#This Row],[ÁREA]],AREAS[Área],AREAS[Dirección],,0)</f>
        <v>COMERCIAL</v>
      </c>
      <c r="AO26" s="71">
        <f t="shared" si="1"/>
        <v>25</v>
      </c>
    </row>
    <row r="27" spans="2:43" ht="31.5" customHeight="1">
      <c r="B27" s="14">
        <f>IF(MEJORAS[[#This Row],[FECHA DE APERTURA]]="","",YEAR(MEJORAS[[#This Row],[FECHA DE APERTURA]]))</f>
        <v>2025</v>
      </c>
      <c r="C27" s="14"/>
      <c r="D27" s="14">
        <f t="shared" si="0"/>
        <v>8</v>
      </c>
      <c r="E27" s="14"/>
      <c r="F27" s="15" t="str">
        <f>IF(MEJORAS[[#This Row],[FECHA DE APERTURA]]="","",IF(MEJORAS[[#This Row],[Columna1]]="","OM#"&amp;MEJORAS[[#This Row],[MES]]&amp;"\"&amp;YEAR(MEJORAS[[#This Row],[FECHA DE APERTURA]]),MEJORAS[[#This Row],[Columna1]]))</f>
        <v>OM#8\2025</v>
      </c>
      <c r="G27" s="17">
        <v>45700</v>
      </c>
      <c r="H27" s="18" t="s">
        <v>269</v>
      </c>
      <c r="I27" s="60">
        <v>45777</v>
      </c>
      <c r="J27" s="60"/>
      <c r="K27" s="60"/>
      <c r="L27" s="19"/>
      <c r="M27" s="20" t="s">
        <v>46</v>
      </c>
      <c r="N27" s="57" t="s">
        <v>218</v>
      </c>
      <c r="O27" s="165" t="s">
        <v>259</v>
      </c>
      <c r="P27" s="21"/>
      <c r="Q27" s="21"/>
      <c r="R27" s="17"/>
      <c r="S27" s="17"/>
      <c r="T27" s="14" t="str">
        <f>IF(MEJORAS[[#This Row],[Fecha Recibido]]="","",IF(NETWORKDAYS(MEJORAS[[#This Row],[Fecha entrega]],MEJORAS[[#This Row],[Fecha Recibido]])&lt;=5,1,0))</f>
        <v/>
      </c>
      <c r="U27" s="14" t="str">
        <f>IF(MEJORAS[[#This Row],[Fecha entrega]]="","",TEXT(MEJORAS[[#This Row],[Fecha entrega]],"MMMM"))</f>
        <v/>
      </c>
      <c r="V27" s="14" t="str">
        <f>IF(MEJORAS[[#This Row],[Fecha entrega]]="","",YEAR(MEJORAS[[#This Row],[Fecha entrega]]))</f>
        <v/>
      </c>
      <c r="W27" s="14" t="str">
        <f>IF(MEJORAS[[#This Row],[Fecha Recibido]]="","",TEXT(MEJORAS[[#This Row],[Fecha Recibido]],"mmmm"))</f>
        <v/>
      </c>
      <c r="X27" s="14" t="str">
        <f>IF(MEJORAS[[#This Row],[Fecha Recibido]]="","",YEAR(MEJORAS[[#This Row],[Fecha Recibido]]))</f>
        <v/>
      </c>
      <c r="Y27" s="14" t="str">
        <f>_xlfn.CONCAT(MEJORAS[[#This Row],[ÁREA]],MEJORAS[[#This Row],[ORIGEN]])</f>
        <v>Licitaciones1-25</v>
      </c>
      <c r="Z27" s="14" t="str">
        <f>_xlfn.CONCAT(MEJORAS[[#This Row],[ÁREA]],MEJORAS[[#This Row],[ESTATUS]])</f>
        <v>LicitacionesCerrada</v>
      </c>
      <c r="AA27" s="14"/>
      <c r="AB27" s="14" t="str">
        <f ca="1">IFERROR(IF(MEJORAS[[#This Row],[FECHA DE CIERRE]]&gt;TODAY(),1,""),"")</f>
        <v/>
      </c>
      <c r="AC27" s="14" t="str">
        <f ca="1">IFERROR(IF(MEJORAS[[#This Row],[REPLANTEO '#1]]&gt;TODAY(),1,""),"")</f>
        <v/>
      </c>
      <c r="AD27" s="14" t="str">
        <f ca="1">IFERROR(IF(MEJORAS[[#This Row],[REPLANTEO '#2 "Formato de replanteo"]]&gt;TODAY(),1,""),"")</f>
        <v/>
      </c>
      <c r="AE27" s="14" t="str">
        <f ca="1">IFERROR(IF(MEJORAS[[#This Row],[REPLANTEO '#3]]&gt;TODAY(),1,""),"")</f>
        <v/>
      </c>
      <c r="AF27" s="14" t="str">
        <f>IFERROR(IF(MEJORAS[[#This Row],[ESTATUS]]="CIERRE",1,""),"")</f>
        <v/>
      </c>
      <c r="AG27" s="14">
        <f>IFERROR(IF(MEJORAS[[#This Row],[ESTATUS]]="CERRADA",1,""),"")</f>
        <v>1</v>
      </c>
      <c r="AH27" s="14">
        <f ca="1">COUNT(MEJORAS[[#This Row],[CÓDIGO 4 EN FECHA DE CIERRE ]:[CÓDIGO 9 ESTATUS CERRADA]])</f>
        <v>1</v>
      </c>
      <c r="AI27" s="14" t="str" cm="1">
        <f t="array" aca="1" ref="AI27"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7" s="14" t="str" cm="1">
        <f t="array" aca="1" ref="AJ27"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7" s="14" t="str" cm="1">
        <f t="array" aca="1" ref="AK27"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7" s="14" t="str" cm="1">
        <f t="array" aca="1" ref="AL27"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27" s="14" t="b">
        <f ca="1">IFERROR(COUNTIF(MEJORAS[[#This Row],[CÓDIGO 11 POR VENCER FECHA CIERRE]:[CÓDIGO 14 FUERA DE REPLANTEO 3]],3)=1," ")</f>
        <v>0</v>
      </c>
      <c r="AN27" s="14" t="str">
        <f>_xlfn.XLOOKUP(MEJORAS[[#This Row],[ÁREA]],AREAS[Área],AREAS[Dirección],,0)</f>
        <v>ADMINISTRATIVA</v>
      </c>
      <c r="AO27" s="71">
        <f t="shared" si="1"/>
        <v>26</v>
      </c>
    </row>
    <row r="28" spans="2:43" ht="66" customHeight="1">
      <c r="B28" s="14">
        <f>IF(MEJORAS[[#This Row],[FECHA DE APERTURA]]="","",YEAR(MEJORAS[[#This Row],[FECHA DE APERTURA]]))</f>
        <v>2025</v>
      </c>
      <c r="C28" s="14"/>
      <c r="D28" s="14">
        <f t="shared" si="0"/>
        <v>9</v>
      </c>
      <c r="E28" s="14"/>
      <c r="F28" s="15" t="str">
        <f>IF(MEJORAS[[#This Row],[FECHA DE APERTURA]]="","",IF(MEJORAS[[#This Row],[Columna1]]="","OM#"&amp;MEJORAS[[#This Row],[MES]]&amp;"\"&amp;YEAR(MEJORAS[[#This Row],[FECHA DE APERTURA]]),MEJORAS[[#This Row],[Columna1]]))</f>
        <v>OM#9\2025</v>
      </c>
      <c r="G28" s="17">
        <v>45720</v>
      </c>
      <c r="H28" s="18" t="s">
        <v>270</v>
      </c>
      <c r="I28" s="60">
        <v>45777</v>
      </c>
      <c r="J28" s="60"/>
      <c r="K28" s="60"/>
      <c r="L28" s="20" t="s">
        <v>59</v>
      </c>
      <c r="M28" s="20" t="s">
        <v>59</v>
      </c>
      <c r="N28" s="57" t="s">
        <v>218</v>
      </c>
      <c r="O28" s="165" t="s">
        <v>259</v>
      </c>
      <c r="P28" s="21"/>
      <c r="Q28" s="21"/>
      <c r="R28" s="17"/>
      <c r="S28" s="17"/>
      <c r="T28" s="14" t="str">
        <f>IF(MEJORAS[[#This Row],[Fecha Recibido]]="","",IF(NETWORKDAYS(MEJORAS[[#This Row],[Fecha entrega]],MEJORAS[[#This Row],[Fecha Recibido]])&lt;=5,1,0))</f>
        <v/>
      </c>
      <c r="U28" s="14" t="str">
        <f>IF(MEJORAS[[#This Row],[Fecha entrega]]="","",TEXT(MEJORAS[[#This Row],[Fecha entrega]],"MMMM"))</f>
        <v/>
      </c>
      <c r="V28" s="14" t="str">
        <f>IF(MEJORAS[[#This Row],[Fecha entrega]]="","",YEAR(MEJORAS[[#This Row],[Fecha entrega]]))</f>
        <v/>
      </c>
      <c r="W28" s="14" t="str">
        <f>IF(MEJORAS[[#This Row],[Fecha Recibido]]="","",TEXT(MEJORAS[[#This Row],[Fecha Recibido]],"mmmm"))</f>
        <v/>
      </c>
      <c r="X28" s="14" t="str">
        <f>IF(MEJORAS[[#This Row],[Fecha Recibido]]="","",YEAR(MEJORAS[[#This Row],[Fecha Recibido]]))</f>
        <v/>
      </c>
      <c r="Y28" s="14" t="str">
        <f>_xlfn.CONCAT(MEJORAS[[#This Row],[ÁREA]],MEJORAS[[#This Row],[ORIGEN]])</f>
        <v>Órgano de Control Interno1-25</v>
      </c>
      <c r="Z28" s="14" t="str">
        <f>_xlfn.CONCAT(MEJORAS[[#This Row],[ÁREA]],MEJORAS[[#This Row],[ESTATUS]])</f>
        <v>Órgano de Control InternoCerrada</v>
      </c>
      <c r="AA28" s="14"/>
      <c r="AB28" s="14" t="str">
        <f ca="1">IFERROR(IF(MEJORAS[[#This Row],[FECHA DE CIERRE]]&gt;TODAY(),1,""),"")</f>
        <v/>
      </c>
      <c r="AC28" s="14" t="str">
        <f ca="1">IFERROR(IF(MEJORAS[[#This Row],[REPLANTEO '#1]]&gt;TODAY(),1,""),"")</f>
        <v/>
      </c>
      <c r="AD28" s="14" t="str">
        <f ca="1">IFERROR(IF(MEJORAS[[#This Row],[REPLANTEO '#2 "Formato de replanteo"]]&gt;TODAY(),1,""),"")</f>
        <v/>
      </c>
      <c r="AE28" s="14">
        <f ca="1">IFERROR(IF(MEJORAS[[#This Row],[REPLANTEO '#3]]&gt;TODAY(),1,""),"")</f>
        <v>1</v>
      </c>
      <c r="AF28" s="14" t="str">
        <f>IFERROR(IF(MEJORAS[[#This Row],[ESTATUS]]="CIERRE",1,""),"")</f>
        <v/>
      </c>
      <c r="AG28" s="14">
        <f>IFERROR(IF(MEJORAS[[#This Row],[ESTATUS]]="CERRADA",1,""),"")</f>
        <v>1</v>
      </c>
      <c r="AH28" s="14">
        <f ca="1">COUNT(MEJORAS[[#This Row],[CÓDIGO 4 EN FECHA DE CIERRE ]:[CÓDIGO 9 ESTATUS CERRADA]])</f>
        <v>2</v>
      </c>
      <c r="AI28" s="14" t="str" cm="1">
        <f t="array" aca="1" ref="AI28"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28" s="14" t="str" cm="1">
        <f t="array" aca="1" ref="AJ28"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28" s="14" t="str" cm="1">
        <f t="array" aca="1" ref="AK28"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28" s="14" cm="1">
        <f t="array" aca="1" ref="AL28"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10</v>
      </c>
      <c r="AM28" s="14" t="b">
        <f ca="1">IFERROR(COUNTIF(MEJORAS[[#This Row],[CÓDIGO 11 POR VENCER FECHA CIERRE]:[CÓDIGO 14 FUERA DE REPLANTEO 3]],3)=1," ")</f>
        <v>0</v>
      </c>
      <c r="AN28" s="14" t="str">
        <f>_xlfn.XLOOKUP(MEJORAS[[#This Row],[ÁREA]],AREAS[Área],AREAS[Dirección],,0)</f>
        <v>ÓRGANO DE CONTROL INTERNO</v>
      </c>
      <c r="AO28" s="71">
        <f t="shared" si="1"/>
        <v>27</v>
      </c>
    </row>
    <row r="29" spans="2:43" ht="31.5">
      <c r="B29" s="14">
        <f>IF(MEJORAS[[#This Row],[FECHA DE APERTURA]]="","",YEAR(MEJORAS[[#This Row],[FECHA DE APERTURA]]))</f>
        <v>2025</v>
      </c>
      <c r="C29" s="14"/>
      <c r="D29" s="14">
        <f t="shared" si="0"/>
        <v>10</v>
      </c>
      <c r="E29" s="14"/>
      <c r="F29" s="15" t="str">
        <f>IF(MEJORAS[[#This Row],[FECHA DE APERTURA]]="","",IF(MEJORAS[[#This Row],[Columna1]]="","OM#"&amp;MEJORAS[[#This Row],[MES]]&amp;"\"&amp;YEAR(MEJORAS[[#This Row],[FECHA DE APERTURA]]),MEJORAS[[#This Row],[Columna1]]))</f>
        <v>OM#10\2025</v>
      </c>
      <c r="G29" s="17">
        <v>45755</v>
      </c>
      <c r="H29" s="18" t="s">
        <v>271</v>
      </c>
      <c r="I29" s="60">
        <v>45792</v>
      </c>
      <c r="J29" s="60"/>
      <c r="K29" s="60"/>
      <c r="L29" s="19"/>
      <c r="M29" s="20" t="s">
        <v>42</v>
      </c>
      <c r="N29" s="57" t="s">
        <v>218</v>
      </c>
      <c r="O29" s="165" t="s">
        <v>259</v>
      </c>
      <c r="P29" s="21"/>
      <c r="Q29" s="21" t="s">
        <v>167</v>
      </c>
      <c r="R29" s="17">
        <v>45803</v>
      </c>
      <c r="S29" s="17">
        <v>45804</v>
      </c>
      <c r="T29" s="14">
        <f>IF(MEJORAS[[#This Row],[Fecha Recibido]]="","",IF(NETWORKDAYS(MEJORAS[[#This Row],[Fecha entrega]],MEJORAS[[#This Row],[Fecha Recibido]])&lt;=5,1,0))</f>
        <v>1</v>
      </c>
      <c r="U29" s="14" t="str">
        <f>IF(MEJORAS[[#This Row],[Fecha entrega]]="","",TEXT(MEJORAS[[#This Row],[Fecha entrega]],"MMMM"))</f>
        <v>mayo</v>
      </c>
      <c r="V29" s="14">
        <f>IF(MEJORAS[[#This Row],[Fecha entrega]]="","",YEAR(MEJORAS[[#This Row],[Fecha entrega]]))</f>
        <v>2025</v>
      </c>
      <c r="W29" s="14" t="str">
        <f>IF(MEJORAS[[#This Row],[Fecha Recibido]]="","",TEXT(MEJORAS[[#This Row],[Fecha Recibido]],"mmmm"))</f>
        <v>mayo</v>
      </c>
      <c r="X29" s="14">
        <f>IF(MEJORAS[[#This Row],[Fecha Recibido]]="","",YEAR(MEJORAS[[#This Row],[Fecha Recibido]]))</f>
        <v>2025</v>
      </c>
      <c r="Y29" s="14" t="str">
        <f>_xlfn.CONCAT(MEJORAS[[#This Row],[ÁREA]],MEJORAS[[#This Row],[ORIGEN]])</f>
        <v>Jurídico1-25</v>
      </c>
      <c r="Z29" s="14" t="str">
        <f>_xlfn.CONCAT(MEJORAS[[#This Row],[ÁREA]],MEJORAS[[#This Row],[ORIGEN]])</f>
        <v>Jurídico1-25</v>
      </c>
      <c r="AA29" s="14" t="str">
        <f>_xlfn.CONCAT(MEJORAS[[#This Row],[ÁREA]],MEJORAS[[#This Row],[ESTATUS]])</f>
        <v>JurídicoCerrada</v>
      </c>
      <c r="AB29" s="14" t="str">
        <f ca="1">IFERROR(IF(MEJORAS[[#This Row],[FECHA DE CIERRE]]&gt;TODAY(),1,""),"")</f>
        <v/>
      </c>
      <c r="AC29" s="14" t="str">
        <f ca="1">IFERROR(IF(MEJORAS[[#This Row],[FECHA DE CIERRE]]&gt;TODAY(),1,""),"")</f>
        <v/>
      </c>
      <c r="AD29" s="14" t="str">
        <f ca="1">IFERROR(IF(MEJORAS[[#This Row],[REPLANTEO '#1]]&gt;TODAY(),1,""),"")</f>
        <v/>
      </c>
      <c r="AE29" s="14" t="str">
        <f ca="1">IFERROR(IF(MEJORAS[[#This Row],[REPLANTEO '#2 "Formato de replanteo"]]&gt;TODAY(),1,""),"")</f>
        <v/>
      </c>
      <c r="AF29" s="14" t="str">
        <f ca="1">IFERROR(IF(MEJORAS[[#This Row],[REPLANTEO '#3]]&gt;TODAY(),1,""),"")</f>
        <v/>
      </c>
      <c r="AG29" s="14" t="str">
        <f>IFERROR(IF(MEJORAS[[#This Row],[ESTATUS]]="CIERRE",1,""),"")</f>
        <v/>
      </c>
      <c r="AH29" s="14">
        <f>IFERROR(IF(MEJORAS[[#This Row],[ESTATUS]]="CERRADA",1,""),"")</f>
        <v>1</v>
      </c>
      <c r="AI29" s="14">
        <f ca="1">COUNT(MEJORAS[[#This Row],[CÓDIGO 4 EN FECHA DE CIERRE ]:[CÓDIGO 9 ESTATUS CERRADA]])</f>
        <v>0</v>
      </c>
      <c r="AJ29" s="14" t="str" cm="1">
        <f t="array" aca="1" ref="AJ29"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K29" s="14" t="str" cm="1">
        <f t="array" aca="1" ref="AK29"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L29" s="14" t="str" cm="1">
        <f t="array" aca="1" ref="AL29"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M29" s="14" t="str" cm="1">
        <f t="array" aca="1" ref="AM29"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N29" s="14" t="str">
        <f>_xlfn.XLOOKUP(MEJORAS[[#This Row],[ÁREA]],AREAS[Área],AREAS[Dirección],,0)</f>
        <v>JURÍDICA</v>
      </c>
      <c r="AO29" s="71">
        <f t="shared" si="1"/>
        <v>28</v>
      </c>
    </row>
    <row r="30" spans="2:43" ht="42">
      <c r="B30" s="14">
        <f>IF(MEJORAS[[#This Row],[FECHA DE APERTURA]]="","",YEAR(MEJORAS[[#This Row],[FECHA DE APERTURA]]))</f>
        <v>2025</v>
      </c>
      <c r="C30" s="14"/>
      <c r="D30" s="14">
        <f t="shared" si="0"/>
        <v>11</v>
      </c>
      <c r="E30" s="14"/>
      <c r="F30" s="15" t="str">
        <f>IF(MEJORAS[[#This Row],[FECHA DE APERTURA]]="","",IF(MEJORAS[[#This Row],[Columna1]]="","OM#"&amp;MEJORAS[[#This Row],[MES]]&amp;"\"&amp;YEAR(MEJORAS[[#This Row],[FECHA DE APERTURA]]),MEJORAS[[#This Row],[Columna1]]))</f>
        <v>OM#11\2025</v>
      </c>
      <c r="G30" s="17">
        <v>45758</v>
      </c>
      <c r="H30" s="18" t="s">
        <v>272</v>
      </c>
      <c r="I30" s="60">
        <v>45884</v>
      </c>
      <c r="J30" s="60">
        <v>45989</v>
      </c>
      <c r="K30" s="60"/>
      <c r="L30" s="19"/>
      <c r="M30" s="20" t="s">
        <v>99</v>
      </c>
      <c r="N30" s="57" t="s">
        <v>218</v>
      </c>
      <c r="O30" s="165" t="s">
        <v>273</v>
      </c>
      <c r="P30" s="21" t="s">
        <v>267</v>
      </c>
      <c r="Q30" s="21" t="s">
        <v>166</v>
      </c>
      <c r="R30" s="17">
        <v>45995</v>
      </c>
      <c r="S30" s="17">
        <v>45995</v>
      </c>
      <c r="T30" s="14">
        <f>IF(MEJORAS[[#This Row],[Fecha Recibido]]="","",IF(NETWORKDAYS(MEJORAS[[#This Row],[Fecha entrega]],MEJORAS[[#This Row],[Fecha Recibido]])&lt;=5,1,0))</f>
        <v>1</v>
      </c>
      <c r="U30" s="14" t="str">
        <f>IF(MEJORAS[[#This Row],[Fecha entrega]]="","",TEXT(MEJORAS[[#This Row],[Fecha entrega]],"MMMM"))</f>
        <v>diciembre</v>
      </c>
      <c r="V30" s="14">
        <f>IF(MEJORAS[[#This Row],[Fecha entrega]]="","",YEAR(MEJORAS[[#This Row],[Fecha entrega]]))</f>
        <v>2025</v>
      </c>
      <c r="W30" s="14" t="str">
        <f>IF(MEJORAS[[#This Row],[Fecha Recibido]]="","",TEXT(MEJORAS[[#This Row],[Fecha Recibido]],"mmmm"))</f>
        <v>diciembre</v>
      </c>
      <c r="X30" s="14">
        <f>IF(MEJORAS[[#This Row],[Fecha Recibido]]="","",YEAR(MEJORAS[[#This Row],[Fecha Recibido]]))</f>
        <v>2025</v>
      </c>
      <c r="Y30" s="14" t="str">
        <f>_xlfn.CONCAT(MEJORAS[[#This Row],[ÁREA]],MEJORAS[[#This Row],[ORIGEN]])</f>
        <v>Trabajo Social2-25</v>
      </c>
      <c r="Z30" s="14" t="str">
        <f>_xlfn.CONCAT(MEJORAS[[#This Row],[ÁREA]],MEJORAS[[#This Row],[ESTATUS]])</f>
        <v>Trabajo SocialCerrada</v>
      </c>
      <c r="AA30" s="14"/>
      <c r="AB30" s="14" t="str">
        <f ca="1">IFERROR(IF(MEJORAS[[#This Row],[FECHA DE CIERRE]]&gt;TODAY(),1,""),"")</f>
        <v/>
      </c>
      <c r="AC30" s="14" t="str">
        <f ca="1">IFERROR(IF(MEJORAS[[#This Row],[REPLANTEO '#1]]&gt;TODAY(),1,""),"")</f>
        <v/>
      </c>
      <c r="AD30" s="14" t="str">
        <f ca="1">IFERROR(IF(MEJORAS[[#This Row],[REPLANTEO '#2 "Formato de replanteo"]]&gt;TODAY(),1,""),"")</f>
        <v/>
      </c>
      <c r="AE30" s="14" t="str">
        <f ca="1">IFERROR(IF(MEJORAS[[#This Row],[REPLANTEO '#3]]&gt;TODAY(),1,""),"")</f>
        <v/>
      </c>
      <c r="AF30" s="14" t="str">
        <f>IFERROR(IF(MEJORAS[[#This Row],[ESTATUS]]="CIERRE",1,""),"")</f>
        <v/>
      </c>
      <c r="AG30" s="14">
        <f>IFERROR(IF(MEJORAS[[#This Row],[ESTATUS]]="CERRADA",1,""),"")</f>
        <v>1</v>
      </c>
      <c r="AH30" s="14">
        <f ca="1">COUNT(MEJORAS[[#This Row],[CÓDIGO 4 EN FECHA DE CIERRE ]:[CÓDIGO 9 ESTATUS CERRADA]])</f>
        <v>1</v>
      </c>
      <c r="AI30" s="14" t="str" cm="1">
        <f t="array" aca="1" ref="AI30"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0" s="14" t="str" cm="1">
        <f t="array" aca="1" ref="AJ30"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0" s="14" t="str" cm="1">
        <f t="array" aca="1" ref="AK30"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0" s="14" t="str" cm="1">
        <f t="array" aca="1" ref="AL30"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0" s="14" t="b">
        <f ca="1">IFERROR(COUNTIF(MEJORAS[[#This Row],[CÓDIGO 11 POR VENCER FECHA CIERRE]:[CÓDIGO 14 FUERA DE REPLANTEO 3]],3)=1," ")</f>
        <v>0</v>
      </c>
      <c r="AN30" s="14" t="str">
        <f>_xlfn.XLOOKUP(MEJORAS[[#This Row],[ÁREA]],AREAS[Área],AREAS[Dirección],,0)</f>
        <v>PROGRAMAS SOCIALES Y CULTURA DEL AGUA</v>
      </c>
      <c r="AO30" s="71">
        <f t="shared" si="1"/>
        <v>29</v>
      </c>
    </row>
    <row r="31" spans="2:43" ht="31.5">
      <c r="B31" s="14">
        <f>IF(MEJORAS[[#This Row],[FECHA DE APERTURA]]="","",YEAR(MEJORAS[[#This Row],[FECHA DE APERTURA]]))</f>
        <v>2025</v>
      </c>
      <c r="C31" s="14"/>
      <c r="D31" s="14">
        <f t="shared" si="0"/>
        <v>12</v>
      </c>
      <c r="E31" s="14"/>
      <c r="F31" s="15" t="str">
        <f>IF(MEJORAS[[#This Row],[FECHA DE APERTURA]]="","",IF(MEJORAS[[#This Row],[Columna1]]="","OM#"&amp;MEJORAS[[#This Row],[MES]]&amp;"\"&amp;YEAR(MEJORAS[[#This Row],[FECHA DE APERTURA]]),MEJORAS[[#This Row],[Columna1]]))</f>
        <v>OM#12\2025</v>
      </c>
      <c r="G31" s="17">
        <v>45784</v>
      </c>
      <c r="H31" s="18" t="s">
        <v>274</v>
      </c>
      <c r="I31" s="60">
        <v>45912</v>
      </c>
      <c r="J31" s="60"/>
      <c r="K31" s="60"/>
      <c r="L31" s="19"/>
      <c r="M31" s="20" t="s">
        <v>75</v>
      </c>
      <c r="N31" s="57" t="s">
        <v>218</v>
      </c>
      <c r="O31" s="165" t="s">
        <v>273</v>
      </c>
      <c r="P31" s="21"/>
      <c r="Q31" s="21" t="s">
        <v>155</v>
      </c>
      <c r="R31" s="17">
        <v>45912</v>
      </c>
      <c r="S31" s="17"/>
      <c r="T31" s="14" t="str">
        <f>IF(MEJORAS[[#This Row],[Fecha Recibido]]="","",IF(NETWORKDAYS(MEJORAS[[#This Row],[Fecha entrega]],MEJORAS[[#This Row],[Fecha Recibido]])&lt;=5,1,0))</f>
        <v/>
      </c>
      <c r="U31" s="14" t="str">
        <f>IF(MEJORAS[[#This Row],[Fecha entrega]]="","",TEXT(MEJORAS[[#This Row],[Fecha entrega]],"MMMM"))</f>
        <v>septiembre</v>
      </c>
      <c r="V31" s="14">
        <f>IF(MEJORAS[[#This Row],[Fecha entrega]]="","",YEAR(MEJORAS[[#This Row],[Fecha entrega]]))</f>
        <v>2025</v>
      </c>
      <c r="W31" s="14" t="str">
        <f>IF(MEJORAS[[#This Row],[Fecha Recibido]]="","",TEXT(MEJORAS[[#This Row],[Fecha Recibido]],"mmmm"))</f>
        <v/>
      </c>
      <c r="X31" s="14" t="str">
        <f>IF(MEJORAS[[#This Row],[Fecha Recibido]]="","",YEAR(MEJORAS[[#This Row],[Fecha Recibido]]))</f>
        <v/>
      </c>
      <c r="Y31" s="14" t="str">
        <f>_xlfn.CONCAT(MEJORAS[[#This Row],[ÁREA]],MEJORAS[[#This Row],[ORIGEN]])</f>
        <v>Recursos Humanos2-25</v>
      </c>
      <c r="Z31" s="14" t="str">
        <f>_xlfn.CONCAT(MEJORAS[[#This Row],[ÁREA]],MEJORAS[[#This Row],[ESTATUS]])</f>
        <v>Recursos HumanosCerrada</v>
      </c>
      <c r="AA31" s="14"/>
      <c r="AB31" s="14" t="str">
        <f ca="1">IFERROR(IF(MEJORAS[[#This Row],[FECHA DE CIERRE]]&gt;TODAY(),1,""),"")</f>
        <v/>
      </c>
      <c r="AC31" s="14" t="str">
        <f ca="1">IFERROR(IF(MEJORAS[[#This Row],[REPLANTEO '#1]]&gt;TODAY(),1,""),"")</f>
        <v/>
      </c>
      <c r="AD31" s="14" t="str">
        <f ca="1">IFERROR(IF(MEJORAS[[#This Row],[REPLANTEO '#2 "Formato de replanteo"]]&gt;TODAY(),1,""),"")</f>
        <v/>
      </c>
      <c r="AE31" s="14" t="str">
        <f ca="1">IFERROR(IF(MEJORAS[[#This Row],[REPLANTEO '#3]]&gt;TODAY(),1,""),"")</f>
        <v/>
      </c>
      <c r="AF31" s="14" t="str">
        <f>IFERROR(IF(MEJORAS[[#This Row],[ESTATUS]]="CIERRE",1,""),"")</f>
        <v/>
      </c>
      <c r="AG31" s="14">
        <f>IFERROR(IF(MEJORAS[[#This Row],[ESTATUS]]="CERRADA",1,""),"")</f>
        <v>1</v>
      </c>
      <c r="AH31" s="14">
        <f ca="1">COUNT(MEJORAS[[#This Row],[CÓDIGO 4 EN FECHA DE CIERRE ]:[CÓDIGO 9 ESTATUS CERRADA]])</f>
        <v>1</v>
      </c>
      <c r="AI31" s="14" t="str" cm="1">
        <f t="array" aca="1" ref="AI31"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1" s="14" t="str" cm="1">
        <f t="array" aca="1" ref="AJ31"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1" s="14" t="str" cm="1">
        <f t="array" aca="1" ref="AK31"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1" s="14" t="str" cm="1">
        <f t="array" aca="1" ref="AL31"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1" s="14" t="b">
        <f ca="1">IFERROR(COUNTIF(MEJORAS[[#This Row],[CÓDIGO 11 POR VENCER FECHA CIERRE]:[CÓDIGO 14 FUERA DE REPLANTEO 3]],3)=1," ")</f>
        <v>0</v>
      </c>
      <c r="AN31" s="14" t="str">
        <f>_xlfn.XLOOKUP(MEJORAS[[#This Row],[ÁREA]],AREAS[Área],AREAS[Dirección],,0)</f>
        <v>ADMINISTRATIVA</v>
      </c>
      <c r="AO31" s="71">
        <f t="shared" si="1"/>
        <v>30</v>
      </c>
    </row>
    <row r="32" spans="2:43" ht="42">
      <c r="B32" s="14">
        <f>IF(MEJORAS[[#This Row],[FECHA DE APERTURA]]="","",YEAR(MEJORAS[[#This Row],[FECHA DE APERTURA]]))</f>
        <v>2025</v>
      </c>
      <c r="C32" s="14"/>
      <c r="D32" s="14">
        <f t="shared" si="0"/>
        <v>13</v>
      </c>
      <c r="E32" s="14"/>
      <c r="F32" s="15" t="str">
        <f>IF(MEJORAS[[#This Row],[FECHA DE APERTURA]]="","",IF(MEJORAS[[#This Row],[Columna1]]="","OM#"&amp;MEJORAS[[#This Row],[MES]]&amp;"\"&amp;YEAR(MEJORAS[[#This Row],[FECHA DE APERTURA]]),MEJORAS[[#This Row],[Columna1]]))</f>
        <v>OM#13\2025</v>
      </c>
      <c r="G32" s="17">
        <v>45800</v>
      </c>
      <c r="H32" s="18" t="s">
        <v>275</v>
      </c>
      <c r="I32" s="60">
        <v>45835</v>
      </c>
      <c r="J32" s="60">
        <v>45955</v>
      </c>
      <c r="K32" s="60"/>
      <c r="L32" s="20" t="s">
        <v>15</v>
      </c>
      <c r="M32" s="20" t="s">
        <v>15</v>
      </c>
      <c r="N32" s="57" t="s">
        <v>218</v>
      </c>
      <c r="O32" s="165" t="s">
        <v>273</v>
      </c>
      <c r="P32" s="21" t="s">
        <v>276</v>
      </c>
      <c r="Q32" s="21" t="s">
        <v>173</v>
      </c>
      <c r="R32" s="17">
        <v>45967</v>
      </c>
      <c r="S32" s="17">
        <v>45971</v>
      </c>
      <c r="T32" s="14">
        <f>IF(MEJORAS[[#This Row],[Fecha Recibido]]="","",IF(NETWORKDAYS(MEJORAS[[#This Row],[Fecha entrega]],MEJORAS[[#This Row],[Fecha Recibido]])&lt;=5,1,0))</f>
        <v>1</v>
      </c>
      <c r="U32" s="14" t="str">
        <f>IF(MEJORAS[[#This Row],[Fecha entrega]]="","",TEXT(MEJORAS[[#This Row],[Fecha entrega]],"MMMM"))</f>
        <v>noviembre</v>
      </c>
      <c r="V32" s="14">
        <f>IF(MEJORAS[[#This Row],[Fecha entrega]]="","",YEAR(MEJORAS[[#This Row],[Fecha entrega]]))</f>
        <v>2025</v>
      </c>
      <c r="W32" s="14" t="str">
        <f>IF(MEJORAS[[#This Row],[Fecha Recibido]]="","",TEXT(MEJORAS[[#This Row],[Fecha Recibido]],"mmmm"))</f>
        <v>noviembre</v>
      </c>
      <c r="X32" s="14">
        <f>IF(MEJORAS[[#This Row],[Fecha Recibido]]="","",YEAR(MEJORAS[[#This Row],[Fecha Recibido]]))</f>
        <v>2025</v>
      </c>
      <c r="Y32" s="14" t="str">
        <f>_xlfn.CONCAT(MEJORAS[[#This Row],[ÁREA]],MEJORAS[[#This Row],[ORIGEN]])</f>
        <v>Comunicación e Imagen Institucional2-25</v>
      </c>
      <c r="Z32" s="14" t="str">
        <f>_xlfn.CONCAT(MEJORAS[[#This Row],[ÁREA]],MEJORAS[[#This Row],[ESTATUS]])</f>
        <v>Comunicación e Imagen InstitucionalCerrada</v>
      </c>
      <c r="AA32" s="14"/>
      <c r="AB32" s="14" t="str">
        <f ca="1">IFERROR(IF(MEJORAS[[#This Row],[FECHA DE CIERRE]]&gt;TODAY(),1,""),"")</f>
        <v/>
      </c>
      <c r="AC32" s="14" t="str">
        <f ca="1">IFERROR(IF(MEJORAS[[#This Row],[REPLANTEO '#1]]&gt;TODAY(),1,""),"")</f>
        <v/>
      </c>
      <c r="AD32" s="14" t="str">
        <f ca="1">IFERROR(IF(MEJORAS[[#This Row],[REPLANTEO '#2 "Formato de replanteo"]]&gt;TODAY(),1,""),"")</f>
        <v/>
      </c>
      <c r="AE32" s="14">
        <f ca="1">IFERROR(IF(MEJORAS[[#This Row],[REPLANTEO '#3]]&gt;TODAY(),1,""),"")</f>
        <v>1</v>
      </c>
      <c r="AF32" s="14" t="str">
        <f>IFERROR(IF(MEJORAS[[#This Row],[ESTATUS]]="CIERRE",1,""),"")</f>
        <v/>
      </c>
      <c r="AG32" s="14">
        <f>IFERROR(IF(MEJORAS[[#This Row],[ESTATUS]]="CERRADA",1,""),"")</f>
        <v>1</v>
      </c>
      <c r="AH32" s="14">
        <f ca="1">COUNT(MEJORAS[[#This Row],[CÓDIGO 4 EN FECHA DE CIERRE ]:[CÓDIGO 9 ESTATUS CERRADA]])</f>
        <v>2</v>
      </c>
      <c r="AI32" s="14" t="str" cm="1">
        <f t="array" aca="1" ref="AI32"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2" s="14" t="str" cm="1">
        <f t="array" aca="1" ref="AJ32"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2" s="14" t="str" cm="1">
        <f t="array" aca="1" ref="AK32"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2" s="14" cm="1">
        <f t="array" aca="1" ref="AL32"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10</v>
      </c>
      <c r="AM32" s="14" t="b">
        <f ca="1">IFERROR(COUNTIF(MEJORAS[[#This Row],[CÓDIGO 11 POR VENCER FECHA CIERRE]:[CÓDIGO 14 FUERA DE REPLANTEO 3]],3)=1," ")</f>
        <v>0</v>
      </c>
      <c r="AN32" s="14" t="str">
        <f>_xlfn.XLOOKUP(MEJORAS[[#This Row],[ÁREA]],AREAS[Área],AREAS[Dirección],,0)</f>
        <v>ADMINISTRATIVA</v>
      </c>
      <c r="AO32" s="71">
        <f t="shared" si="1"/>
        <v>31</v>
      </c>
    </row>
    <row r="33" spans="2:41" ht="21">
      <c r="B33" s="14">
        <f>IF(MEJORAS[[#This Row],[FECHA DE APERTURA]]="","",YEAR(MEJORAS[[#This Row],[FECHA DE APERTURA]]))</f>
        <v>2025</v>
      </c>
      <c r="C33" s="14"/>
      <c r="D33" s="14">
        <f t="shared" si="0"/>
        <v>14</v>
      </c>
      <c r="E33" s="14"/>
      <c r="F33" s="15" t="str">
        <f>IF(MEJORAS[[#This Row],[FECHA DE APERTURA]]="","",IF(MEJORAS[[#This Row],[Columna1]]="","OM#"&amp;MEJORAS[[#This Row],[MES]]&amp;"\"&amp;YEAR(MEJORAS[[#This Row],[FECHA DE APERTURA]]),MEJORAS[[#This Row],[Columna1]]))</f>
        <v>OM#14\2025</v>
      </c>
      <c r="G33" s="17">
        <v>45891</v>
      </c>
      <c r="H33" s="18" t="s">
        <v>277</v>
      </c>
      <c r="I33" s="60">
        <v>45975</v>
      </c>
      <c r="J33" s="60">
        <v>46011</v>
      </c>
      <c r="K33" s="60">
        <v>46172</v>
      </c>
      <c r="L33" s="19"/>
      <c r="M33" s="20" t="s">
        <v>42</v>
      </c>
      <c r="N33" s="57" t="s">
        <v>218</v>
      </c>
      <c r="O33" s="165" t="s">
        <v>273</v>
      </c>
      <c r="P33" s="21"/>
      <c r="Q33" s="21"/>
      <c r="R33" s="17"/>
      <c r="S33" s="17"/>
      <c r="T33" s="14" t="str">
        <f>IF(MEJORAS[[#This Row],[Fecha Recibido]]="","",IF(NETWORKDAYS(MEJORAS[[#This Row],[Fecha entrega]],MEJORAS[[#This Row],[Fecha Recibido]])&lt;=5,1,0))</f>
        <v/>
      </c>
      <c r="U33" s="14" t="str">
        <f>IF(MEJORAS[[#This Row],[Fecha entrega]]="","",TEXT(MEJORAS[[#This Row],[Fecha entrega]],"MMMM"))</f>
        <v/>
      </c>
      <c r="V33" s="14" t="str">
        <f>IF(MEJORAS[[#This Row],[Fecha entrega]]="","",YEAR(MEJORAS[[#This Row],[Fecha entrega]]))</f>
        <v/>
      </c>
      <c r="W33" s="14" t="str">
        <f>IF(MEJORAS[[#This Row],[Fecha Recibido]]="","",TEXT(MEJORAS[[#This Row],[Fecha Recibido]],"mmmm"))</f>
        <v/>
      </c>
      <c r="X33" s="14" t="str">
        <f>IF(MEJORAS[[#This Row],[Fecha Recibido]]="","",YEAR(MEJORAS[[#This Row],[Fecha Recibido]]))</f>
        <v/>
      </c>
      <c r="Y33" s="14" t="str">
        <f>_xlfn.CONCAT(MEJORAS[[#This Row],[ÁREA]],MEJORAS[[#This Row],[ORIGEN]])</f>
        <v>Jurídico2-25</v>
      </c>
      <c r="Z33" s="14" t="str">
        <f>_xlfn.CONCAT(MEJORAS[[#This Row],[ÁREA]],MEJORAS[[#This Row],[ESTATUS]])</f>
        <v>JurídicoCerrada</v>
      </c>
      <c r="AA33" s="14"/>
      <c r="AB33" s="14" t="str">
        <f ca="1">IFERROR(IF(MEJORAS[[#This Row],[FECHA DE CIERRE]]&gt;TODAY(),1,""),"")</f>
        <v/>
      </c>
      <c r="AC33" s="14" t="str">
        <f ca="1">IFERROR(IF(MEJORAS[[#This Row],[REPLANTEO '#1]]&gt;TODAY(),1,""),"")</f>
        <v/>
      </c>
      <c r="AD33" s="14">
        <f ca="1">IFERROR(IF(MEJORAS[[#This Row],[REPLANTEO '#2 "Formato de replanteo"]]&gt;TODAY(),1,""),"")</f>
        <v>1</v>
      </c>
      <c r="AE33" s="14" t="str">
        <f ca="1">IFERROR(IF(MEJORAS[[#This Row],[REPLANTEO '#3]]&gt;TODAY(),1,""),"")</f>
        <v/>
      </c>
      <c r="AF33" s="14" t="str">
        <f>IFERROR(IF(MEJORAS[[#This Row],[ESTATUS]]="CIERRE",1,""),"")</f>
        <v/>
      </c>
      <c r="AG33" s="14">
        <f>IFERROR(IF(MEJORAS[[#This Row],[ESTATUS]]="CERRADA",1,""),"")</f>
        <v>1</v>
      </c>
      <c r="AH33" s="14">
        <f ca="1">COUNT(MEJORAS[[#This Row],[CÓDIGO 4 EN FECHA DE CIERRE ]:[CÓDIGO 9 ESTATUS CERRADA]])</f>
        <v>2</v>
      </c>
      <c r="AI33" s="14" t="str" cm="1">
        <f t="array" aca="1" ref="AI33"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3" s="14" t="str" cm="1">
        <f t="array" aca="1" ref="AJ33"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3" s="14" cm="1">
        <f t="array" aca="1" ref="AK33"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10</v>
      </c>
      <c r="AL33" s="14" t="str" cm="1">
        <f t="array" aca="1" ref="AL33"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3" s="14" t="b">
        <f ca="1">IFERROR(COUNTIF(MEJORAS[[#This Row],[CÓDIGO 11 POR VENCER FECHA CIERRE]:[CÓDIGO 14 FUERA DE REPLANTEO 3]],3)=1," ")</f>
        <v>0</v>
      </c>
      <c r="AN33" s="14" t="str">
        <f>_xlfn.XLOOKUP(MEJORAS[[#This Row],[ÁREA]],AREAS[Área],AREAS[Dirección],,0)</f>
        <v>JURÍDICA</v>
      </c>
      <c r="AO33" s="71">
        <f t="shared" si="1"/>
        <v>32</v>
      </c>
    </row>
    <row r="34" spans="2:41" ht="39.75" customHeight="1">
      <c r="B34" s="14">
        <f>IF(MEJORAS[[#This Row],[FECHA DE APERTURA]]="","",YEAR(MEJORAS[[#This Row],[FECHA DE APERTURA]]))</f>
        <v>2025</v>
      </c>
      <c r="C34" s="14"/>
      <c r="D34" s="14">
        <f t="shared" si="0"/>
        <v>15</v>
      </c>
      <c r="E34" s="14"/>
      <c r="F34" s="15" t="str">
        <f>IF(MEJORAS[[#This Row],[FECHA DE APERTURA]]="","",IF(MEJORAS[[#This Row],[Columna1]]="","OM#"&amp;MEJORAS[[#This Row],[MES]]&amp;"\"&amp;YEAR(MEJORAS[[#This Row],[FECHA DE APERTURA]]),MEJORAS[[#This Row],[Columna1]]))</f>
        <v>OM#15\2025</v>
      </c>
      <c r="G34" s="17">
        <v>45819</v>
      </c>
      <c r="H34" s="18" t="s">
        <v>278</v>
      </c>
      <c r="I34" s="60">
        <v>45922</v>
      </c>
      <c r="J34" s="60">
        <v>45960</v>
      </c>
      <c r="K34" s="60"/>
      <c r="L34" s="19"/>
      <c r="M34" s="20" t="s">
        <v>66</v>
      </c>
      <c r="N34" s="57" t="s">
        <v>218</v>
      </c>
      <c r="O34" s="165" t="s">
        <v>273</v>
      </c>
      <c r="P34" s="21" t="s">
        <v>279</v>
      </c>
      <c r="Q34" s="21" t="s">
        <v>160</v>
      </c>
      <c r="R34" s="17">
        <v>45972</v>
      </c>
      <c r="S34" s="17"/>
      <c r="T34" s="14" t="str">
        <f>IF(MEJORAS[[#This Row],[Fecha Recibido]]="","",IF(NETWORKDAYS(MEJORAS[[#This Row],[Fecha entrega]],MEJORAS[[#This Row],[Fecha Recibido]])&lt;=5,1,0))</f>
        <v/>
      </c>
      <c r="U34" s="14" t="str">
        <f>IF(MEJORAS[[#This Row],[Fecha entrega]]="","",TEXT(MEJORAS[[#This Row],[Fecha entrega]],"MMMM"))</f>
        <v>noviembre</v>
      </c>
      <c r="V34" s="14">
        <f>IF(MEJORAS[[#This Row],[Fecha entrega]]="","",YEAR(MEJORAS[[#This Row],[Fecha entrega]]))</f>
        <v>2025</v>
      </c>
      <c r="W34" s="14" t="str">
        <f>IF(MEJORAS[[#This Row],[Fecha Recibido]]="","",TEXT(MEJORAS[[#This Row],[Fecha Recibido]],"mmmm"))</f>
        <v/>
      </c>
      <c r="X34" s="14" t="str">
        <f>IF(MEJORAS[[#This Row],[Fecha Recibido]]="","",YEAR(MEJORAS[[#This Row],[Fecha Recibido]]))</f>
        <v/>
      </c>
      <c r="Y34" s="14" t="str">
        <f>_xlfn.CONCAT(MEJORAS[[#This Row],[ÁREA]],MEJORAS[[#This Row],[ORIGEN]])</f>
        <v>Control y Servicios2-25</v>
      </c>
      <c r="Z34" s="14" t="str">
        <f>_xlfn.CONCAT(MEJORAS[[#This Row],[ÁREA]],MEJORAS[[#This Row],[ESTATUS]])</f>
        <v>Control y ServiciosCerrada</v>
      </c>
      <c r="AA34" s="14"/>
      <c r="AB34" s="14" t="str">
        <f ca="1">IFERROR(IF(MEJORAS[[#This Row],[FECHA DE CIERRE]]&gt;TODAY(),1,""),"")</f>
        <v/>
      </c>
      <c r="AC34" s="14" t="str">
        <f ca="1">IFERROR(IF(MEJORAS[[#This Row],[REPLANTEO '#1]]&gt;TODAY(),1,""),"")</f>
        <v/>
      </c>
      <c r="AD34" s="14" t="str">
        <f ca="1">IFERROR(IF(MEJORAS[[#This Row],[REPLANTEO '#2 "Formato de replanteo"]]&gt;TODAY(),1,""),"")</f>
        <v/>
      </c>
      <c r="AE34" s="14" t="str">
        <f ca="1">IFERROR(IF(MEJORAS[[#This Row],[REPLANTEO '#3]]&gt;TODAY(),1,""),"")</f>
        <v/>
      </c>
      <c r="AF34" s="14" t="str">
        <f>IFERROR(IF(MEJORAS[[#This Row],[ESTATUS]]="CIERRE",1,""),"")</f>
        <v/>
      </c>
      <c r="AG34" s="14">
        <f>IFERROR(IF(MEJORAS[[#This Row],[ESTATUS]]="CERRADA",1,""),"")</f>
        <v>1</v>
      </c>
      <c r="AH34" s="14">
        <f ca="1">COUNT(MEJORAS[[#This Row],[CÓDIGO 4 EN FECHA DE CIERRE ]:[CÓDIGO 9 ESTATUS CERRADA]])</f>
        <v>1</v>
      </c>
      <c r="AI34" s="14" t="str" cm="1">
        <f t="array" aca="1" ref="AI34"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4" s="14" t="str" cm="1">
        <f t="array" aca="1" ref="AJ34"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4" s="14" t="str" cm="1">
        <f t="array" aca="1" ref="AK34"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4" s="14" t="str" cm="1">
        <f t="array" aca="1" ref="AL34"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4" s="14" t="b">
        <f ca="1">IFERROR(COUNTIF(MEJORAS[[#This Row],[CÓDIGO 11 POR VENCER FECHA CIERRE]:[CÓDIGO 14 FUERA DE REPLANTEO 3]],3)=1," ")</f>
        <v>0</v>
      </c>
      <c r="AN34" s="14" t="str">
        <f>_xlfn.XLOOKUP(MEJORAS[[#This Row],[ÁREA]],AREAS[Área],AREAS[Dirección],,0)</f>
        <v>COMERCIAL</v>
      </c>
      <c r="AO34" s="71">
        <f t="shared" si="1"/>
        <v>33</v>
      </c>
    </row>
    <row r="35" spans="2:41" ht="42">
      <c r="B35" s="14">
        <f>IF(MEJORAS[[#This Row],[FECHA DE APERTURA]]="","",YEAR(MEJORAS[[#This Row],[FECHA DE APERTURA]]))</f>
        <v>2025</v>
      </c>
      <c r="C35" s="14"/>
      <c r="D35" s="14">
        <f t="shared" si="0"/>
        <v>16</v>
      </c>
      <c r="E35" s="14"/>
      <c r="F35" s="15" t="str">
        <f>IF(MEJORAS[[#This Row],[FECHA DE APERTURA]]="","",IF(MEJORAS[[#This Row],[Columna1]]="","OM#"&amp;MEJORAS[[#This Row],[MES]]&amp;"\"&amp;YEAR(MEJORAS[[#This Row],[FECHA DE APERTURA]]),MEJORAS[[#This Row],[Columna1]]))</f>
        <v>OM#16\2025</v>
      </c>
      <c r="G35" s="17">
        <v>45834</v>
      </c>
      <c r="H35" s="18" t="s">
        <v>280</v>
      </c>
      <c r="I35" s="60">
        <v>45989</v>
      </c>
      <c r="J35" s="60">
        <v>46037</v>
      </c>
      <c r="K35" s="60"/>
      <c r="L35" s="19"/>
      <c r="M35" s="20" t="s">
        <v>54</v>
      </c>
      <c r="N35" s="57" t="s">
        <v>218</v>
      </c>
      <c r="O35" s="165" t="s">
        <v>273</v>
      </c>
      <c r="P35" s="21" t="s">
        <v>281</v>
      </c>
      <c r="Q35" s="21" t="s">
        <v>176</v>
      </c>
      <c r="R35" s="17">
        <v>45992</v>
      </c>
      <c r="S35" s="17"/>
      <c r="T35" s="14" t="str">
        <f>IF(MEJORAS[[#This Row],[Fecha Recibido]]="","",IF(NETWORKDAYS(MEJORAS[[#This Row],[Fecha entrega]],MEJORAS[[#This Row],[Fecha Recibido]])&lt;=5,1,0))</f>
        <v/>
      </c>
      <c r="U35" s="14" t="str">
        <f>IF(MEJORAS[[#This Row],[Fecha entrega]]="","",TEXT(MEJORAS[[#This Row],[Fecha entrega]],"MMMM"))</f>
        <v>diciembre</v>
      </c>
      <c r="V35" s="14">
        <f>IF(MEJORAS[[#This Row],[Fecha entrega]]="","",YEAR(MEJORAS[[#This Row],[Fecha entrega]]))</f>
        <v>2025</v>
      </c>
      <c r="W35" s="14" t="str">
        <f>IF(MEJORAS[[#This Row],[Fecha Recibido]]="","",TEXT(MEJORAS[[#This Row],[Fecha Recibido]],"mmmm"))</f>
        <v/>
      </c>
      <c r="X35" s="14" t="str">
        <f>IF(MEJORAS[[#This Row],[Fecha Recibido]]="","",YEAR(MEJORAS[[#This Row],[Fecha Recibido]]))</f>
        <v/>
      </c>
      <c r="Y35" s="14" t="str">
        <f>_xlfn.CONCAT(MEJORAS[[#This Row],[ÁREA]],MEJORAS[[#This Row],[ORIGEN]])</f>
        <v>Mantenimiento y Servicios Generales2-25</v>
      </c>
      <c r="Z35" s="14" t="str">
        <f>_xlfn.CONCAT(MEJORAS[[#This Row],[ÁREA]],MEJORAS[[#This Row],[ESTATUS]])</f>
        <v>Mantenimiento y Servicios GeneralesCerrada</v>
      </c>
      <c r="AA35" s="14"/>
      <c r="AB35" s="14" t="str">
        <f ca="1">IFERROR(IF(MEJORAS[[#This Row],[FECHA DE CIERRE]]&gt;TODAY(),1,""),"")</f>
        <v/>
      </c>
      <c r="AC35" s="14" t="str">
        <f ca="1">IFERROR(IF(MEJORAS[[#This Row],[REPLANTEO '#1]]&gt;TODAY(),1,""),"")</f>
        <v/>
      </c>
      <c r="AD35" s="14" t="str">
        <f ca="1">IFERROR(IF(MEJORAS[[#This Row],[REPLANTEO '#2 "Formato de replanteo"]]&gt;TODAY(),1,""),"")</f>
        <v/>
      </c>
      <c r="AE35" s="14" t="str">
        <f ca="1">IFERROR(IF(MEJORAS[[#This Row],[REPLANTEO '#3]]&gt;TODAY(),1,""),"")</f>
        <v/>
      </c>
      <c r="AF35" s="14" t="str">
        <f>IFERROR(IF(MEJORAS[[#This Row],[ESTATUS]]="CIERRE",1,""),"")</f>
        <v/>
      </c>
      <c r="AG35" s="14">
        <f>IFERROR(IF(MEJORAS[[#This Row],[ESTATUS]]="CERRADA",1,""),"")</f>
        <v>1</v>
      </c>
      <c r="AH35" s="14">
        <f ca="1">COUNT(MEJORAS[[#This Row],[CÓDIGO 4 EN FECHA DE CIERRE ]:[CÓDIGO 9 ESTATUS CERRADA]])</f>
        <v>1</v>
      </c>
      <c r="AI35" s="14" t="str" cm="1">
        <f t="array" aca="1" ref="AI35"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5" s="14" t="str" cm="1">
        <f t="array" aca="1" ref="AJ35"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5" s="14" t="str" cm="1">
        <f t="array" aca="1" ref="AK35"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5" s="14" t="str" cm="1">
        <f t="array" aca="1" ref="AL35"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5" s="14" t="b">
        <f ca="1">IFERROR(COUNTIF(MEJORAS[[#This Row],[CÓDIGO 11 POR VENCER FECHA CIERRE]:[CÓDIGO 14 FUERA DE REPLANTEO 3]],3)=1," ")</f>
        <v>0</v>
      </c>
      <c r="AN35" s="14" t="str">
        <f>_xlfn.XLOOKUP(MEJORAS[[#This Row],[ÁREA]],AREAS[Área],AREAS[Dirección],,0)</f>
        <v>ADMINISTRATIVA</v>
      </c>
      <c r="AO35" s="71">
        <f t="shared" si="1"/>
        <v>34</v>
      </c>
    </row>
    <row r="36" spans="2:41" ht="42">
      <c r="B36" s="14">
        <f>IF(MEJORAS[[#This Row],[FECHA DE APERTURA]]="","",YEAR(MEJORAS[[#This Row],[FECHA DE APERTURA]]))</f>
        <v>2025</v>
      </c>
      <c r="C36" s="14"/>
      <c r="D36" s="14">
        <f t="shared" si="0"/>
        <v>17</v>
      </c>
      <c r="E36" s="14"/>
      <c r="F36" s="15" t="str">
        <f>IF(MEJORAS[[#This Row],[FECHA DE APERTURA]]="","",IF(MEJORAS[[#This Row],[Columna1]]="","OM#"&amp;MEJORAS[[#This Row],[MES]]&amp;"\"&amp;YEAR(MEJORAS[[#This Row],[FECHA DE APERTURA]]),MEJORAS[[#This Row],[Columna1]]))</f>
        <v>OM#17\2025</v>
      </c>
      <c r="G36" s="17">
        <v>45846</v>
      </c>
      <c r="H36" s="18" t="s">
        <v>282</v>
      </c>
      <c r="I36" s="60">
        <v>45945</v>
      </c>
      <c r="J36" s="60"/>
      <c r="K36" s="60"/>
      <c r="L36" s="19"/>
      <c r="M36" s="20" t="s">
        <v>12</v>
      </c>
      <c r="N36" s="57" t="s">
        <v>218</v>
      </c>
      <c r="O36" s="165" t="s">
        <v>273</v>
      </c>
      <c r="P36" s="21"/>
      <c r="Q36" s="21"/>
      <c r="R36" s="17"/>
      <c r="S36" s="17"/>
      <c r="T36" s="14" t="str">
        <f>IF(MEJORAS[[#This Row],[Fecha Recibido]]="","",IF(NETWORKDAYS(MEJORAS[[#This Row],[Fecha entrega]],MEJORAS[[#This Row],[Fecha Recibido]])&lt;=5,1,0))</f>
        <v/>
      </c>
      <c r="U36" s="14" t="str">
        <f>IF(MEJORAS[[#This Row],[Fecha entrega]]="","",TEXT(MEJORAS[[#This Row],[Fecha entrega]],"MMMM"))</f>
        <v/>
      </c>
      <c r="V36" s="14" t="str">
        <f>IF(MEJORAS[[#This Row],[Fecha entrega]]="","",YEAR(MEJORAS[[#This Row],[Fecha entrega]]))</f>
        <v/>
      </c>
      <c r="W36" s="14" t="str">
        <f>IF(MEJORAS[[#This Row],[Fecha Recibido]]="","",TEXT(MEJORAS[[#This Row],[Fecha Recibido]],"mmmm"))</f>
        <v/>
      </c>
      <c r="X36" s="14" t="str">
        <f>IF(MEJORAS[[#This Row],[Fecha Recibido]]="","",YEAR(MEJORAS[[#This Row],[Fecha Recibido]]))</f>
        <v/>
      </c>
      <c r="Y36" s="14" t="str">
        <f>_xlfn.CONCAT(MEJORAS[[#This Row],[ÁREA]],MEJORAS[[#This Row],[ORIGEN]])</f>
        <v>Alcantarillado y Saneamiento2-25</v>
      </c>
      <c r="Z36" s="14" t="str">
        <f>_xlfn.CONCAT(MEJORAS[[#This Row],[ÁREA]],MEJORAS[[#This Row],[ESTATUS]])</f>
        <v>Alcantarillado y SaneamientoCerrada</v>
      </c>
      <c r="AA36" s="14"/>
      <c r="AB36" s="14" t="str">
        <f ca="1">IFERROR(IF(MEJORAS[[#This Row],[FECHA DE CIERRE]]&gt;TODAY(),1,""),"")</f>
        <v/>
      </c>
      <c r="AC36" s="14" t="str">
        <f ca="1">IFERROR(IF(MEJORAS[[#This Row],[REPLANTEO '#1]]&gt;TODAY(),1,""),"")</f>
        <v/>
      </c>
      <c r="AD36" s="14" t="str">
        <f ca="1">IFERROR(IF(MEJORAS[[#This Row],[REPLANTEO '#2 "Formato de replanteo"]]&gt;TODAY(),1,""),"")</f>
        <v/>
      </c>
      <c r="AE36" s="14" t="str">
        <f ca="1">IFERROR(IF(MEJORAS[[#This Row],[REPLANTEO '#3]]&gt;TODAY(),1,""),"")</f>
        <v/>
      </c>
      <c r="AF36" s="14" t="str">
        <f>IFERROR(IF(MEJORAS[[#This Row],[ESTATUS]]="CIERRE",1,""),"")</f>
        <v/>
      </c>
      <c r="AG36" s="14">
        <f>IFERROR(IF(MEJORAS[[#This Row],[ESTATUS]]="CERRADA",1,""),"")</f>
        <v>1</v>
      </c>
      <c r="AH36" s="14">
        <f ca="1">COUNT(MEJORAS[[#This Row],[CÓDIGO 4 EN FECHA DE CIERRE ]:[CÓDIGO 9 ESTATUS CERRADA]])</f>
        <v>1</v>
      </c>
      <c r="AI36" s="14" t="str" cm="1">
        <f t="array" aca="1" ref="AI36"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6" s="14" t="str" cm="1">
        <f t="array" aca="1" ref="AJ36"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6" s="14" t="str" cm="1">
        <f t="array" aca="1" ref="AK36"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6" s="14" t="str" cm="1">
        <f t="array" aca="1" ref="AL36"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6" s="14" t="b">
        <f ca="1">IFERROR(COUNTIF(MEJORAS[[#This Row],[CÓDIGO 11 POR VENCER FECHA CIERRE]:[CÓDIGO 14 FUERA DE REPLANTEO 3]],3)=1," ")</f>
        <v>0</v>
      </c>
      <c r="AN36" s="14" t="str">
        <f>_xlfn.XLOOKUP(MEJORAS[[#This Row],[ÁREA]],AREAS[Área],AREAS[Dirección],,0)</f>
        <v>TÉCNICA</v>
      </c>
      <c r="AO36" s="71">
        <f t="shared" si="1"/>
        <v>35</v>
      </c>
    </row>
    <row r="37" spans="2:41" ht="42">
      <c r="B37" s="14">
        <f>IF(MEJORAS[[#This Row],[FECHA DE APERTURA]]="","",YEAR(MEJORAS[[#This Row],[FECHA DE APERTURA]]))</f>
        <v>2025</v>
      </c>
      <c r="C37" s="14"/>
      <c r="D37" s="14">
        <f t="shared" si="0"/>
        <v>18</v>
      </c>
      <c r="E37" s="14"/>
      <c r="F37" s="15" t="str">
        <f>IF(MEJORAS[[#This Row],[FECHA DE APERTURA]]="","",IF(MEJORAS[[#This Row],[Columna1]]="","OM#"&amp;MEJORAS[[#This Row],[MES]]&amp;"\"&amp;YEAR(MEJORAS[[#This Row],[FECHA DE APERTURA]]),MEJORAS[[#This Row],[Columna1]]))</f>
        <v>OM#18\2025</v>
      </c>
      <c r="G37" s="17">
        <v>45852</v>
      </c>
      <c r="H37" s="18" t="s">
        <v>283</v>
      </c>
      <c r="I37" s="60">
        <v>45923</v>
      </c>
      <c r="J37" s="60">
        <v>45981</v>
      </c>
      <c r="K37" s="60"/>
      <c r="L37" s="19"/>
      <c r="M37" s="20" t="s">
        <v>35</v>
      </c>
      <c r="N37" s="57" t="s">
        <v>218</v>
      </c>
      <c r="O37" s="165" t="s">
        <v>273</v>
      </c>
      <c r="P37" s="21"/>
      <c r="Q37" s="21" t="s">
        <v>178</v>
      </c>
      <c r="R37" s="17">
        <v>45979</v>
      </c>
      <c r="S37" s="17">
        <v>45979</v>
      </c>
      <c r="T37" s="14">
        <f>IF(MEJORAS[[#This Row],[Fecha Recibido]]="","",IF(NETWORKDAYS(MEJORAS[[#This Row],[Fecha entrega]],MEJORAS[[#This Row],[Fecha Recibido]])&lt;=5,1,0))</f>
        <v>1</v>
      </c>
      <c r="U37" s="14" t="str">
        <f>IF(MEJORAS[[#This Row],[Fecha entrega]]="","",TEXT(MEJORAS[[#This Row],[Fecha entrega]],"MMMM"))</f>
        <v>noviembre</v>
      </c>
      <c r="V37" s="14">
        <f>IF(MEJORAS[[#This Row],[Fecha entrega]]="","",YEAR(MEJORAS[[#This Row],[Fecha entrega]]))</f>
        <v>2025</v>
      </c>
      <c r="W37" s="14" t="str">
        <f>IF(MEJORAS[[#This Row],[Fecha Recibido]]="","",TEXT(MEJORAS[[#This Row],[Fecha Recibido]],"mmmm"))</f>
        <v>noviembre</v>
      </c>
      <c r="X37" s="14">
        <f>IF(MEJORAS[[#This Row],[Fecha Recibido]]="","",YEAR(MEJORAS[[#This Row],[Fecha Recibido]]))</f>
        <v>2025</v>
      </c>
      <c r="Y37" s="14" t="str">
        <f>_xlfn.CONCAT(MEJORAS[[#This Row],[ÁREA]],MEJORAS[[#This Row],[ORIGEN]])</f>
        <v>Sistema de Gestión de Calidad2-25</v>
      </c>
      <c r="Z37" s="14" t="str">
        <f>_xlfn.CONCAT(MEJORAS[[#This Row],[ÁREA]],MEJORAS[[#This Row],[ESTATUS]])</f>
        <v>Sistema de Gestión de CalidadCerrada</v>
      </c>
      <c r="AA37" s="14"/>
      <c r="AB37" s="14" t="str">
        <f ca="1">IFERROR(IF(MEJORAS[[#This Row],[FECHA DE CIERRE]]&gt;TODAY(),1,""),"")</f>
        <v/>
      </c>
      <c r="AC37" s="14" t="str">
        <f ca="1">IFERROR(IF(MEJORAS[[#This Row],[REPLANTEO '#1]]&gt;TODAY(),1,""),"")</f>
        <v/>
      </c>
      <c r="AD37" s="14" t="str">
        <f ca="1">IFERROR(IF(MEJORAS[[#This Row],[REPLANTEO '#2 "Formato de replanteo"]]&gt;TODAY(),1,""),"")</f>
        <v/>
      </c>
      <c r="AE37" s="14" t="str">
        <f ca="1">IFERROR(IF(MEJORAS[[#This Row],[REPLANTEO '#3]]&gt;TODAY(),1,""),"")</f>
        <v/>
      </c>
      <c r="AF37" s="14" t="str">
        <f>IFERROR(IF(MEJORAS[[#This Row],[ESTATUS]]="CIERRE",1,""),"")</f>
        <v/>
      </c>
      <c r="AG37" s="14">
        <f>IFERROR(IF(MEJORAS[[#This Row],[ESTATUS]]="CERRADA",1,""),"")</f>
        <v>1</v>
      </c>
      <c r="AH37" s="14">
        <f ca="1">COUNT(MEJORAS[[#This Row],[CÓDIGO 4 EN FECHA DE CIERRE ]:[CÓDIGO 9 ESTATUS CERRADA]])</f>
        <v>1</v>
      </c>
      <c r="AI37" s="14" t="str" cm="1">
        <f t="array" aca="1" ref="AI37"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7" s="14" t="str" cm="1">
        <f t="array" aca="1" ref="AJ37"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7" s="14" t="str" cm="1">
        <f t="array" aca="1" ref="AK37"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7" s="14" t="str" cm="1">
        <f t="array" aca="1" ref="AL37"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7" s="14" t="b">
        <f ca="1">IFERROR(COUNTIF(MEJORAS[[#This Row],[CÓDIGO 11 POR VENCER FECHA CIERRE]:[CÓDIGO 14 FUERA DE REPLANTEO 3]],3)=1," ")</f>
        <v>0</v>
      </c>
      <c r="AN37" s="14" t="str">
        <f>_xlfn.XLOOKUP(MEJORAS[[#This Row],[ÁREA]],AREAS[Área],AREAS[Dirección],,0)</f>
        <v>GENERAL</v>
      </c>
      <c r="AO37" s="71">
        <f t="shared" si="1"/>
        <v>36</v>
      </c>
    </row>
    <row r="38" spans="2:41" ht="42">
      <c r="B38" s="14">
        <f>IF(MEJORAS[[#This Row],[FECHA DE APERTURA]]="","",YEAR(MEJORAS[[#This Row],[FECHA DE APERTURA]]))</f>
        <v>2025</v>
      </c>
      <c r="C38" s="14"/>
      <c r="D38" s="14">
        <f t="shared" si="0"/>
        <v>19</v>
      </c>
      <c r="E38" s="14"/>
      <c r="F38" s="15" t="str">
        <f>IF(MEJORAS[[#This Row],[FECHA DE APERTURA]]="","",IF(MEJORAS[[#This Row],[Columna1]]="","OM#"&amp;MEJORAS[[#This Row],[MES]]&amp;"\"&amp;YEAR(MEJORAS[[#This Row],[FECHA DE APERTURA]]),MEJORAS[[#This Row],[Columna1]]))</f>
        <v>OM#19\2025</v>
      </c>
      <c r="G38" s="17">
        <v>45852</v>
      </c>
      <c r="H38" s="18" t="s">
        <v>284</v>
      </c>
      <c r="I38" s="60">
        <v>45930</v>
      </c>
      <c r="J38" s="60">
        <v>45988</v>
      </c>
      <c r="K38" s="60"/>
      <c r="L38" s="19"/>
      <c r="M38" s="20" t="s">
        <v>59</v>
      </c>
      <c r="N38" s="57" t="s">
        <v>218</v>
      </c>
      <c r="O38" s="165" t="s">
        <v>273</v>
      </c>
      <c r="P38" s="21" t="s">
        <v>254</v>
      </c>
      <c r="Q38" s="21" t="s">
        <v>156</v>
      </c>
      <c r="R38" s="17">
        <v>45966</v>
      </c>
      <c r="S38" s="17">
        <v>45974</v>
      </c>
      <c r="T38" s="14">
        <f>IF(MEJORAS[[#This Row],[Fecha Recibido]]="","",IF(NETWORKDAYS(MEJORAS[[#This Row],[Fecha entrega]],MEJORAS[[#This Row],[Fecha Recibido]])&lt;=5,1,0))</f>
        <v>0</v>
      </c>
      <c r="U38" s="14" t="str">
        <f>IF(MEJORAS[[#This Row],[Fecha entrega]]="","",TEXT(MEJORAS[[#This Row],[Fecha entrega]],"MMMM"))</f>
        <v>noviembre</v>
      </c>
      <c r="V38" s="14">
        <f>IF(MEJORAS[[#This Row],[Fecha entrega]]="","",YEAR(MEJORAS[[#This Row],[Fecha entrega]]))</f>
        <v>2025</v>
      </c>
      <c r="W38" s="14" t="str">
        <f>IF(MEJORAS[[#This Row],[Fecha Recibido]]="","",TEXT(MEJORAS[[#This Row],[Fecha Recibido]],"mmmm"))</f>
        <v>noviembre</v>
      </c>
      <c r="X38" s="14">
        <f>IF(MEJORAS[[#This Row],[Fecha Recibido]]="","",YEAR(MEJORAS[[#This Row],[Fecha Recibido]]))</f>
        <v>2025</v>
      </c>
      <c r="Y38" s="14" t="str">
        <f>_xlfn.CONCAT(MEJORAS[[#This Row],[ÁREA]],MEJORAS[[#This Row],[ORIGEN]])</f>
        <v>Órgano de Control Interno2-25</v>
      </c>
      <c r="Z38" s="14" t="str">
        <f>_xlfn.CONCAT(MEJORAS[[#This Row],[ÁREA]],MEJORAS[[#This Row],[ESTATUS]])</f>
        <v>Órgano de Control InternoCerrada</v>
      </c>
      <c r="AA38" s="14"/>
      <c r="AB38" s="14" t="str">
        <f ca="1">IFERROR(IF(MEJORAS[[#This Row],[FECHA DE CIERRE]]&gt;TODAY(),1,""),"")</f>
        <v/>
      </c>
      <c r="AC38" s="14" t="str">
        <f ca="1">IFERROR(IF(MEJORAS[[#This Row],[REPLANTEO '#1]]&gt;TODAY(),1,""),"")</f>
        <v/>
      </c>
      <c r="AD38" s="14" t="str">
        <f ca="1">IFERROR(IF(MEJORAS[[#This Row],[REPLANTEO '#2 "Formato de replanteo"]]&gt;TODAY(),1,""),"")</f>
        <v/>
      </c>
      <c r="AE38" s="14" t="str">
        <f ca="1">IFERROR(IF(MEJORAS[[#This Row],[REPLANTEO '#3]]&gt;TODAY(),1,""),"")</f>
        <v/>
      </c>
      <c r="AF38" s="14" t="str">
        <f>IFERROR(IF(MEJORAS[[#This Row],[ESTATUS]]="CIERRE",1,""),"")</f>
        <v/>
      </c>
      <c r="AG38" s="14">
        <f>IFERROR(IF(MEJORAS[[#This Row],[ESTATUS]]="CERRADA",1,""),"")</f>
        <v>1</v>
      </c>
      <c r="AH38" s="14">
        <f ca="1">COUNT(MEJORAS[[#This Row],[CÓDIGO 4 EN FECHA DE CIERRE ]:[CÓDIGO 9 ESTATUS CERRADA]])</f>
        <v>1</v>
      </c>
      <c r="AI38" s="14" t="str" cm="1">
        <f t="array" aca="1" ref="AI38"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8" s="14" t="str" cm="1">
        <f t="array" aca="1" ref="AJ38"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8" s="14" t="str" cm="1">
        <f t="array" aca="1" ref="AK38"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8" s="14" t="str" cm="1">
        <f t="array" aca="1" ref="AL38"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8" s="14" t="b">
        <f ca="1">IFERROR(COUNTIF(MEJORAS[[#This Row],[CÓDIGO 11 POR VENCER FECHA CIERRE]:[CÓDIGO 14 FUERA DE REPLANTEO 3]],3)=1," ")</f>
        <v>0</v>
      </c>
      <c r="AN38" s="14" t="str">
        <f>_xlfn.XLOOKUP(MEJORAS[[#This Row],[ÁREA]],AREAS[Área],AREAS[Dirección],,0)</f>
        <v>ÓRGANO DE CONTROL INTERNO</v>
      </c>
      <c r="AO38" s="71">
        <f t="shared" si="1"/>
        <v>37</v>
      </c>
    </row>
    <row r="39" spans="2:41" ht="59.25" customHeight="1">
      <c r="B39" s="14">
        <f>IF(MEJORAS[[#This Row],[FECHA DE APERTURA]]="","",YEAR(MEJORAS[[#This Row],[FECHA DE APERTURA]]))</f>
        <v>2025</v>
      </c>
      <c r="C39" s="14"/>
      <c r="D39" s="14">
        <f t="shared" si="0"/>
        <v>20</v>
      </c>
      <c r="E39" s="14"/>
      <c r="F39" s="15" t="str">
        <f>IF(MEJORAS[[#This Row],[FECHA DE APERTURA]]="","",IF(MEJORAS[[#This Row],[Columna1]]="","OM#"&amp;MEJORAS[[#This Row],[MES]]&amp;"\"&amp;YEAR(MEJORAS[[#This Row],[FECHA DE APERTURA]]),MEJORAS[[#This Row],[Columna1]]))</f>
        <v>OM#20\2025</v>
      </c>
      <c r="G39" s="17">
        <v>45809</v>
      </c>
      <c r="H39" s="18" t="s">
        <v>285</v>
      </c>
      <c r="I39" s="60">
        <v>45991</v>
      </c>
      <c r="J39" s="60"/>
      <c r="K39" s="60"/>
      <c r="L39" s="19"/>
      <c r="M39" s="20" t="s">
        <v>32</v>
      </c>
      <c r="N39" s="57" t="s">
        <v>218</v>
      </c>
      <c r="O39" s="165" t="s">
        <v>286</v>
      </c>
      <c r="P39" s="21"/>
      <c r="Q39" s="21" t="s">
        <v>165</v>
      </c>
      <c r="R39" s="17">
        <v>45953</v>
      </c>
      <c r="S39" s="17">
        <v>45957</v>
      </c>
      <c r="T39" s="14">
        <f>IF(MEJORAS[[#This Row],[Fecha Recibido]]="","",IF(NETWORKDAYS(MEJORAS[[#This Row],[Fecha entrega]],MEJORAS[[#This Row],[Fecha Recibido]])&lt;=5,1,0))</f>
        <v>1</v>
      </c>
      <c r="U39" s="14" t="str">
        <f>IF(MEJORAS[[#This Row],[Fecha entrega]]="","",TEXT(MEJORAS[[#This Row],[Fecha entrega]],"MMMM"))</f>
        <v>octubre</v>
      </c>
      <c r="V39" s="14">
        <f>IF(MEJORAS[[#This Row],[Fecha entrega]]="","",YEAR(MEJORAS[[#This Row],[Fecha entrega]]))</f>
        <v>2025</v>
      </c>
      <c r="W39" s="14" t="str">
        <f>IF(MEJORAS[[#This Row],[Fecha Recibido]]="","",TEXT(MEJORAS[[#This Row],[Fecha Recibido]],"mmmm"))</f>
        <v>octubre</v>
      </c>
      <c r="X39" s="14">
        <f>IF(MEJORAS[[#This Row],[Fecha Recibido]]="","",YEAR(MEJORAS[[#This Row],[Fecha Recibido]]))</f>
        <v>2025</v>
      </c>
      <c r="Y39" s="14" t="str">
        <f>_xlfn.CONCAT(MEJORAS[[#This Row],[ÁREA]],MEJORAS[[#This Row],[ORIGEN]])</f>
        <v>Control de Calidad3-25</v>
      </c>
      <c r="Z39" s="14" t="str">
        <f>_xlfn.CONCAT(MEJORAS[[#This Row],[ÁREA]],MEJORAS[[#This Row],[ESTATUS]])</f>
        <v>Control de CalidadCerrada</v>
      </c>
      <c r="AA39" s="14"/>
      <c r="AB39" s="14" t="str">
        <f ca="1">IFERROR(IF(MEJORAS[[#This Row],[FECHA DE CIERRE]]&gt;TODAY(),1,""),"")</f>
        <v/>
      </c>
      <c r="AC39" s="14" t="str">
        <f ca="1">IFERROR(IF(MEJORAS[[#This Row],[REPLANTEO '#1]]&gt;TODAY(),1,""),"")</f>
        <v/>
      </c>
      <c r="AD39" s="14" t="str">
        <f ca="1">IFERROR(IF(MEJORAS[[#This Row],[REPLANTEO '#2 "Formato de replanteo"]]&gt;TODAY(),1,""),"")</f>
        <v/>
      </c>
      <c r="AE39" s="14" t="str">
        <f ca="1">IFERROR(IF(MEJORAS[[#This Row],[REPLANTEO '#3]]&gt;TODAY(),1,""),"")</f>
        <v/>
      </c>
      <c r="AF39" s="14" t="str">
        <f>IFERROR(IF(MEJORAS[[#This Row],[ESTATUS]]="CIERRE",1,""),"")</f>
        <v/>
      </c>
      <c r="AG39" s="14">
        <f>IFERROR(IF(MEJORAS[[#This Row],[ESTATUS]]="CERRADA",1,""),"")</f>
        <v>1</v>
      </c>
      <c r="AH39" s="14">
        <f ca="1">COUNT(MEJORAS[[#This Row],[CÓDIGO 4 EN FECHA DE CIERRE ]:[CÓDIGO 9 ESTATUS CERRADA]])</f>
        <v>1</v>
      </c>
      <c r="AI39" s="14" t="str" cm="1">
        <f t="array" aca="1" ref="AI39" ca="1">IFERROR(_xlfn.IFS(MEJORAS[[#This Row],[FECHA DE CIERRE]]&lt;TODAY(),"",MEJORAS[[#This Row],[FECHA DE CIERRE]]&gt;TODAY()+10,10,MEJORAS[[#This Row],[FECHA DE CIERRE]]&gt;TODAY()+1,3,MEJORAS[[#This Row],[FECHA DE CIERRE]]&gt;TODAY()+2,3,MEJORAS[[#This Row],[FECHA DE CIERRE]]&gt;TODAY()+3,3,MEJORAS[[#This Row],[FECHA DE CIERRE]]&gt;TODAY()+4,3,MEJORAS[[#This Row],[FECHA DE CIERRE]]&gt;TODAY()+5,3,MEJORAS[[#This Row],[FECHA DE CIERRE]]&gt;TODAY()+6,3,MEJORAS[[#This Row],[FECHA DE CIERRE]]&gt;TODAY()+7,3,MEJORAS[[#This Row],[FECHA DE CIERRE]]&gt;TODAY()+8,3,MEJORAS[[#This Row],[FECHA DE CIERRE]]&gt;TODAY()+9,3,MEJORAS[[#This Row],[FECHA DE CIERRE]]=TODAY()+1,3),"")</f>
        <v/>
      </c>
      <c r="AJ39" s="14" t="str" cm="1">
        <f t="array" aca="1" ref="AJ39" ca="1">IFERROR(_xlfn.IFS(MEJORAS[[#This Row],[REPLANTEO '#1]]&lt;TODAY(),"",MEJORAS[[#This Row],[REPLANTEO '#1]]&gt;TODAY()+10,10,MEJORAS[[#This Row],[REPLANTEO '#1]]&gt;TODAY()+1,3,MEJORAS[[#This Row],[REPLANTEO '#1]]&gt;TODAY()+2,3,MEJORAS[[#This Row],[REPLANTEO '#1]]&gt;TODAY()+3,3,MEJORAS[[#This Row],[REPLANTEO '#1]]&gt;TODAY()+4,3,MEJORAS[[#This Row],[REPLANTEO '#1]]&gt;TODAY()+5,3,MEJORAS[[#This Row],[REPLANTEO '#1]]&gt;TODAY()+6,3,MEJORAS[[#This Row],[REPLANTEO '#1]]&gt;TODAY()+7,3,MEJORAS[[#This Row],[REPLANTEO '#1]]&gt;TODAY()+8,3,MEJORAS[[#This Row],[REPLANTEO '#1]]&gt;TODAY()+9,3,MEJORAS[[#This Row],[REPLANTEO '#1]]=TODAY()+1,3),"")</f>
        <v/>
      </c>
      <c r="AK39" s="14" t="str" cm="1">
        <f t="array" aca="1" ref="AK39" ca="1">IFERROR(_xlfn.IFS(MEJORAS[[#This Row],[REPLANTEO '#2 "Formato de replanteo"]]&lt;TODAY(),"",MEJORAS[[#This Row],[REPLANTEO '#2 "Formato de replanteo"]]&gt;TODAY()+10,10,MEJORAS[[#This Row],[REPLANTEO '#2 "Formato de replanteo"]]&gt;TODAY()+1,3,MEJORAS[[#This Row],[REPLANTEO '#2 "Formato de replanteo"]]&gt;TODAY()+2,3,MEJORAS[[#This Row],[REPLANTEO '#2 "Formato de replanteo"]]&gt;TODAY()+3,3,MEJORAS[[#This Row],[REPLANTEO '#2 "Formato de replanteo"]]&gt;TODAY()+4,3,MEJORAS[[#This Row],[REPLANTEO '#2 "Formato de replanteo"]]&gt;TODAY()+5,3,MEJORAS[[#This Row],[REPLANTEO '#2 "Formato de replanteo"]]&gt;TODAY()+6,3,MEJORAS[[#This Row],[REPLANTEO '#2 "Formato de replanteo"]]&gt;TODAY()+7,3,MEJORAS[[#This Row],[REPLANTEO '#2 "Formato de replanteo"]]&gt;TODAY()+8,3,MEJORAS[[#This Row],[REPLANTEO '#2 "Formato de replanteo"]]&gt;TODAY()+9,3,MEJORAS[[#This Row],[REPLANTEO '#2 "Formato de replanteo"]]=TODAY()+1,3),"")</f>
        <v/>
      </c>
      <c r="AL39" s="14" t="str" cm="1">
        <f t="array" aca="1" ref="AL39" ca="1">IFERROR(_xlfn.IFS(MEJORAS[[#This Row],[REPLANTEO '#3]]&lt;TODAY(),"",MEJORAS[[#This Row],[REPLANTEO '#3]]&gt;TODAY()+10,10,MEJORAS[[#This Row],[REPLANTEO '#3]]&gt;TODAY()+1,3,MEJORAS[[#This Row],[REPLANTEO '#3]]&gt;TODAY()+2,3,MEJORAS[[#This Row],[REPLANTEO '#3]]&gt;TODAY()+3,3,MEJORAS[[#This Row],[REPLANTEO '#3]]&gt;TODAY()+4,3,MEJORAS[[#This Row],[REPLANTEO '#3]]&gt;TODAY()+5,3,MEJORAS[[#This Row],[REPLANTEO '#3]]&gt;TODAY()+6,3,MEJORAS[[#This Row],[REPLANTEO '#3]]&gt;TODAY()+7,3,MEJORAS[[#This Row],[REPLANTEO '#3]]&gt;TODAY()+8,3,MEJORAS[[#This Row],[REPLANTEO '#3]]&gt;TODAY()+9,3,MEJORAS[[#This Row],[REPLANTEO '#3]]=TODAY()+1,3),"")</f>
        <v/>
      </c>
      <c r="AM39" s="14" t="b">
        <f ca="1">IFERROR(COUNTIF(MEJORAS[[#This Row],[CÓDIGO 11 POR VENCER FECHA CIERRE]:[CÓDIGO 14 FUERA DE REPLANTEO 3]],3)=1," ")</f>
        <v>0</v>
      </c>
      <c r="AN39" s="14" t="str">
        <f>_xlfn.XLOOKUP(MEJORAS[[#This Row],[ÁREA]],AREAS[Área],AREAS[Dirección],,0)</f>
        <v>TÉCNICA</v>
      </c>
      <c r="AO39" s="71">
        <f t="shared" si="1"/>
        <v>38</v>
      </c>
    </row>
    <row r="40" spans="2:41" ht="63">
      <c r="B40" s="14">
        <f>IF(MEJORAS[[#This Row],[FECHA DE APERTURA]]="","",YEAR(MEJORAS[[#This Row],[FECHA DE APERTURA]]))</f>
        <v>2025</v>
      </c>
      <c r="C40" s="14"/>
      <c r="D40" s="14">
        <f t="shared" si="0"/>
        <v>21</v>
      </c>
      <c r="E40" s="14"/>
      <c r="F40" s="15" t="str">
        <f>IF(MEJORAS[[#This Row],[FECHA DE APERTURA]]="","",IF(MEJORAS[[#This Row],[Columna1]]="","OM#"&amp;MEJORAS[[#This Row],[MES]]&amp;"\"&amp;YEAR(MEJORAS[[#This Row],[FECHA DE APERTURA]]),MEJORAS[[#This Row],[Columna1]]))</f>
        <v>OM#21\2025</v>
      </c>
      <c r="G40" s="17">
        <v>45971</v>
      </c>
      <c r="H40" s="18" t="s">
        <v>287</v>
      </c>
      <c r="I40" s="60">
        <v>46022</v>
      </c>
      <c r="J40" s="60"/>
      <c r="K40" s="60"/>
      <c r="L40" s="19"/>
      <c r="M40" s="20" t="s">
        <v>42</v>
      </c>
      <c r="N40" s="57" t="s">
        <v>218</v>
      </c>
      <c r="O40" s="165" t="s">
        <v>286</v>
      </c>
      <c r="P40" s="21"/>
      <c r="Q40" s="21"/>
      <c r="R40" s="17"/>
      <c r="S40" s="17"/>
      <c r="T40" s="14" t="str">
        <f>IF(MEJORAS[[#This Row],[Fecha Recibido]]="","",IF(NETWORKDAYS(MEJORAS[[#This Row],[Fecha entrega]],MEJORAS[[#This Row],[Fecha Recibido]])&lt;=5,1,0))</f>
        <v/>
      </c>
      <c r="U40" s="14" t="str">
        <f>IF(MEJORAS[[#This Row],[Fecha entrega]]="","",TEXT(MEJORAS[[#This Row],[Fecha entrega]],"MMMM"))</f>
        <v/>
      </c>
      <c r="V40" s="14" t="str">
        <f>IF(MEJORAS[[#This Row],[Fecha entrega]]="","",YEAR(MEJORAS[[#This Row],[Fecha entrega]]))</f>
        <v/>
      </c>
      <c r="W40" s="14" t="str">
        <f>IF(MEJORAS[[#This Row],[Fecha Recibido]]="","",TEXT(MEJORAS[[#This Row],[Fecha Recibido]],"mmmm"))</f>
        <v/>
      </c>
      <c r="X40" s="14" t="str">
        <f>IF(MEJORAS[[#This Row],[Fecha Recibido]]="","",YEAR(MEJORAS[[#This Row],[Fecha Recibido]]))</f>
        <v/>
      </c>
      <c r="Y40" s="14" t="str">
        <f>_xlfn.CONCAT(MEJORAS[[#This Row],[ÁREA]],MEJORAS[[#This Row],[ORIGEN]])</f>
        <v>Jurídico3-25</v>
      </c>
      <c r="Z40" s="14"/>
      <c r="AA40" s="14"/>
      <c r="AB40" s="14" t="str">
        <f ca="1">IFERROR(IF(MEJORAS[[#This Row],[FECHA DE CIERRE]]&gt;TODAY(),1,""),"")</f>
        <v/>
      </c>
      <c r="AC40" s="14"/>
      <c r="AD40" s="14"/>
      <c r="AE40" s="14"/>
      <c r="AF40" s="14"/>
      <c r="AG40" s="14"/>
      <c r="AH40" s="14"/>
      <c r="AI40" s="14"/>
      <c r="AJ40" s="14"/>
      <c r="AK40" s="14"/>
      <c r="AL40" s="14"/>
      <c r="AM40" s="14"/>
      <c r="AN40" s="14" t="str">
        <f>_xlfn.XLOOKUP(MEJORAS[[#This Row],[ÁREA]],AREAS[Área],AREAS[Dirección],,0)</f>
        <v>JURÍDICA</v>
      </c>
      <c r="AO40" s="71"/>
    </row>
    <row r="41" spans="2:41" ht="31.5">
      <c r="B41" s="14">
        <f>IF(MEJORAS[[#This Row],[FECHA DE APERTURA]]="","",YEAR(MEJORAS[[#This Row],[FECHA DE APERTURA]]))</f>
        <v>2025</v>
      </c>
      <c r="C41" s="14"/>
      <c r="D41" s="14">
        <f t="shared" si="0"/>
        <v>22</v>
      </c>
      <c r="E41" s="14"/>
      <c r="F41" s="15" t="str">
        <f>IF(MEJORAS[[#This Row],[FECHA DE APERTURA]]="","",IF(MEJORAS[[#This Row],[Columna1]]="","OM#"&amp;MEJORAS[[#This Row],[MES]]&amp;"\"&amp;YEAR(MEJORAS[[#This Row],[FECHA DE APERTURA]]),MEJORAS[[#This Row],[Columna1]]))</f>
        <v>OM#22\2025</v>
      </c>
      <c r="G41" s="17">
        <v>46000</v>
      </c>
      <c r="H41" s="18" t="s">
        <v>288</v>
      </c>
      <c r="I41" s="60">
        <v>46037</v>
      </c>
      <c r="J41" s="60"/>
      <c r="K41" s="60"/>
      <c r="L41" s="19"/>
      <c r="M41" s="20" t="s">
        <v>66</v>
      </c>
      <c r="N41" s="57" t="s">
        <v>218</v>
      </c>
      <c r="O41" s="165" t="s">
        <v>286</v>
      </c>
      <c r="P41" s="21"/>
      <c r="Q41" s="21" t="s">
        <v>158</v>
      </c>
      <c r="R41" s="17">
        <v>46050</v>
      </c>
      <c r="S41" s="17">
        <v>46050</v>
      </c>
      <c r="T41" s="14">
        <f>IF(MEJORAS[[#This Row],[Fecha Recibido]]="","",IF(NETWORKDAYS(MEJORAS[[#This Row],[Fecha entrega]],MEJORAS[[#This Row],[Fecha Recibido]])&lt;=5,1,0))</f>
        <v>1</v>
      </c>
      <c r="U41" s="14" t="str">
        <f>IF(MEJORAS[[#This Row],[Fecha entrega]]="","",TEXT(MEJORAS[[#This Row],[Fecha entrega]],"MMMM"))</f>
        <v>enero</v>
      </c>
      <c r="V41" s="14">
        <f>IF(MEJORAS[[#This Row],[Fecha entrega]]="","",YEAR(MEJORAS[[#This Row],[Fecha entrega]]))</f>
        <v>2026</v>
      </c>
      <c r="W41" s="14" t="str">
        <f>IF(MEJORAS[[#This Row],[Fecha Recibido]]="","",TEXT(MEJORAS[[#This Row],[Fecha Recibido]],"mmmm"))</f>
        <v>enero</v>
      </c>
      <c r="X41" s="14">
        <f>IF(MEJORAS[[#This Row],[Fecha Recibido]]="","",YEAR(MEJORAS[[#This Row],[Fecha Recibido]]))</f>
        <v>2026</v>
      </c>
      <c r="Y41" s="14" t="str">
        <f>_xlfn.CONCAT(MEJORAS[[#This Row],[ÁREA]],MEJORAS[[#This Row],[ORIGEN]])</f>
        <v>Control y Servicios3-25</v>
      </c>
      <c r="Z41" s="14"/>
      <c r="AA41" s="14"/>
      <c r="AB41" s="14" t="str">
        <f ca="1">IFERROR(IF(MEJORAS[[#This Row],[FECHA DE CIERRE]]&gt;TODAY(),1,""),"")</f>
        <v/>
      </c>
      <c r="AC41" s="14"/>
      <c r="AD41" s="14"/>
      <c r="AE41" s="14"/>
      <c r="AF41" s="14"/>
      <c r="AG41" s="14"/>
      <c r="AH41" s="14"/>
      <c r="AI41" s="14"/>
      <c r="AJ41" s="14"/>
      <c r="AK41" s="14"/>
      <c r="AL41" s="14"/>
      <c r="AM41" s="14"/>
      <c r="AN41" s="14" t="str">
        <f>_xlfn.XLOOKUP(MEJORAS[[#This Row],[ÁREA]],AREAS[Área],AREAS[Dirección],,0)</f>
        <v>COMERCIAL</v>
      </c>
      <c r="AO41" s="71"/>
    </row>
    <row r="42" spans="2:41" ht="42">
      <c r="B42" s="14">
        <f>IF(MEJORAS[[#This Row],[FECHA DE APERTURA]]="","",YEAR(MEJORAS[[#This Row],[FECHA DE APERTURA]]))</f>
        <v>2025</v>
      </c>
      <c r="C42" s="14"/>
      <c r="D42" s="14">
        <f t="shared" si="0"/>
        <v>23</v>
      </c>
      <c r="E42" s="14"/>
      <c r="F42" s="15" t="str">
        <f>IF(MEJORAS[[#This Row],[FECHA DE APERTURA]]="","",IF(MEJORAS[[#This Row],[Columna1]]="","OM#"&amp;MEJORAS[[#This Row],[MES]]&amp;"\"&amp;YEAR(MEJORAS[[#This Row],[FECHA DE APERTURA]]),MEJORAS[[#This Row],[Columna1]]))</f>
        <v>OM#23\2025</v>
      </c>
      <c r="G42" s="17">
        <v>45923</v>
      </c>
      <c r="H42" s="18" t="s">
        <v>289</v>
      </c>
      <c r="I42" s="60">
        <v>46052</v>
      </c>
      <c r="J42" s="60">
        <v>46080</v>
      </c>
      <c r="K42" s="60"/>
      <c r="L42" s="19"/>
      <c r="M42" s="20" t="s">
        <v>99</v>
      </c>
      <c r="N42" s="57" t="s">
        <v>218</v>
      </c>
      <c r="O42" s="165" t="s">
        <v>286</v>
      </c>
      <c r="P42" s="21"/>
      <c r="Q42" s="21" t="s">
        <v>166</v>
      </c>
      <c r="R42" s="17">
        <v>46073</v>
      </c>
      <c r="S42" s="17">
        <v>46076</v>
      </c>
      <c r="T42" s="14">
        <f>IF(MEJORAS[[#This Row],[Fecha Recibido]]="","",IF(NETWORKDAYS(MEJORAS[[#This Row],[Fecha entrega]],MEJORAS[[#This Row],[Fecha Recibido]])&lt;=5,1,0))</f>
        <v>1</v>
      </c>
      <c r="U42" s="14" t="str">
        <f>IF(MEJORAS[[#This Row],[Fecha entrega]]="","",TEXT(MEJORAS[[#This Row],[Fecha entrega]],"MMMM"))</f>
        <v>febrero</v>
      </c>
      <c r="V42" s="14">
        <f>IF(MEJORAS[[#This Row],[Fecha entrega]]="","",YEAR(MEJORAS[[#This Row],[Fecha entrega]]))</f>
        <v>2026</v>
      </c>
      <c r="W42" s="14" t="str">
        <f>IF(MEJORAS[[#This Row],[Fecha Recibido]]="","",TEXT(MEJORAS[[#This Row],[Fecha Recibido]],"mmmm"))</f>
        <v>febrero</v>
      </c>
      <c r="X42" s="14">
        <f>IF(MEJORAS[[#This Row],[Fecha Recibido]]="","",YEAR(MEJORAS[[#This Row],[Fecha Recibido]]))</f>
        <v>2026</v>
      </c>
      <c r="Y42" s="14" t="str">
        <f>_xlfn.CONCAT(MEJORAS[[#This Row],[ÁREA]],MEJORAS[[#This Row],[ORIGEN]])</f>
        <v>Trabajo Social3-25</v>
      </c>
      <c r="Z42" s="14"/>
      <c r="AA42" s="14"/>
      <c r="AB42" s="14" t="str">
        <f ca="1">IFERROR(IF(MEJORAS[[#This Row],[FECHA DE CIERRE]]&gt;TODAY(),1,""),"")</f>
        <v/>
      </c>
      <c r="AC42" s="14"/>
      <c r="AD42" s="14"/>
      <c r="AE42" s="14"/>
      <c r="AF42" s="14"/>
      <c r="AG42" s="14"/>
      <c r="AH42" s="14"/>
      <c r="AI42" s="14"/>
      <c r="AJ42" s="14"/>
      <c r="AK42" s="14"/>
      <c r="AL42" s="14"/>
      <c r="AM42" s="14"/>
      <c r="AN42" s="14" t="str">
        <f>_xlfn.XLOOKUP(MEJORAS[[#This Row],[ÁREA]],AREAS[Área],AREAS[Dirección],,0)</f>
        <v>PROGRAMAS SOCIALES Y CULTURA DEL AGUA</v>
      </c>
      <c r="AO42" s="71"/>
    </row>
  </sheetData>
  <conditionalFormatting sqref="F2:H3 F19:G19 F22:H22 G23:H23 F24:H1048576">
    <cfRule type="expression" dxfId="135" priority="2">
      <formula>$N2="CIERRE"</formula>
    </cfRule>
  </conditionalFormatting>
  <conditionalFormatting sqref="G2:H18 G19 G20:H39">
    <cfRule type="expression" dxfId="134" priority="1">
      <formula>$N2="Cierre"</formula>
    </cfRule>
  </conditionalFormatting>
  <conditionalFormatting sqref="I1:J1048576 K2:K1048576">
    <cfRule type="cellIs" dxfId="133" priority="3" operator="between">
      <formula>TODAY()+10</formula>
      <formula>TODAY()+1</formula>
    </cfRule>
    <cfRule type="cellIs" dxfId="132" priority="4" operator="equal">
      <formula>0</formula>
    </cfRule>
  </conditionalFormatting>
  <conditionalFormatting sqref="I2:K1048576">
    <cfRule type="cellIs" dxfId="131" priority="5" operator="lessThan">
      <formula>TODAY()</formula>
    </cfRule>
    <cfRule type="cellIs" dxfId="130" priority="6" operator="greaterThan">
      <formula>TODAY()</formula>
    </cfRule>
  </conditionalFormatting>
  <dataValidations count="1">
    <dataValidation type="list" allowBlank="1" showInputMessage="1" showErrorMessage="1" sqref="N2:N42" xr:uid="{8CBE90B1-021F-467D-85C5-CF1A704F5B1A}">
      <mc:AlternateContent xmlns:x12ac="http://schemas.microsoft.com/office/spreadsheetml/2011/1/ac" xmlns:mc="http://schemas.openxmlformats.org/markup-compatibility/2006">
        <mc:Choice Requires="x12ac">
          <x12ac:list>Abierta,Cerrada,Cierre,""" """,</x12ac:list>
        </mc:Choice>
        <mc:Fallback>
          <formula1>"Abierta,Cerrada,Cierre,"" "","</formula1>
        </mc:Fallback>
      </mc:AlternateContent>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ACFAF7E-9FD4-477A-81AB-D4E64915B45A}">
          <x14:formula1>
            <xm:f>Auditores!$B$3:$B$26</xm:f>
          </x14:formula1>
          <xm:sqref>Q2:Q42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DB6A-EEAD-4986-9C40-8F4CDFD9D080}">
  <sheetPr codeName="Hoja6">
    <tabColor rgb="FFC00000"/>
  </sheetPr>
  <dimension ref="C1:AP64"/>
  <sheetViews>
    <sheetView showGridLines="0" topLeftCell="J23" zoomScaleNormal="100" workbookViewId="0">
      <selection activeCell="AO23" sqref="AO23"/>
    </sheetView>
  </sheetViews>
  <sheetFormatPr defaultColWidth="11" defaultRowHeight="16.5"/>
  <cols>
    <col min="1" max="2" width="3.75" style="13" customWidth="1"/>
    <col min="3" max="4" width="5.125" style="13" hidden="1" customWidth="1"/>
    <col min="5" max="5" width="8.75" style="13" hidden="1" customWidth="1"/>
    <col min="6" max="6" width="9.25" style="61" hidden="1" customWidth="1"/>
    <col min="7" max="7" width="8.75" style="13" customWidth="1"/>
    <col min="8" max="8" width="8.5" style="69" customWidth="1"/>
    <col min="9" max="9" width="38" style="65" customWidth="1"/>
    <col min="10" max="11" width="9.625" style="66" customWidth="1"/>
    <col min="12" max="12" width="11.5" style="66" customWidth="1"/>
    <col min="13" max="13" width="9.625" style="13" hidden="1" customWidth="1"/>
    <col min="14" max="14" width="11.75" style="67" customWidth="1"/>
    <col min="15" max="15" width="9.875" style="68" customWidth="1"/>
    <col min="16" max="16" width="9.75" style="69" customWidth="1"/>
    <col min="17" max="17" width="23.875" style="69" customWidth="1"/>
    <col min="18" max="18" width="9.75" style="69" customWidth="1"/>
    <col min="19" max="20" width="9.75" style="96" customWidth="1"/>
    <col min="21" max="23" width="9.75" style="61" hidden="1" customWidth="1"/>
    <col min="24" max="25" width="9.75" style="13" hidden="1" customWidth="1"/>
    <col min="26" max="26" width="11" hidden="1" customWidth="1"/>
    <col min="27" max="27" width="9.625" style="13" hidden="1" customWidth="1"/>
    <col min="28" max="28" width="9.625" style="161" hidden="1" customWidth="1"/>
    <col min="29" max="40" width="9.625" style="13" hidden="1" customWidth="1"/>
    <col min="41" max="41" width="9.625" style="13" customWidth="1"/>
    <col min="42" max="42" width="19.875" style="13" customWidth="1"/>
    <col min="43" max="43" width="17.25" style="13" customWidth="1"/>
    <col min="44" max="16384" width="11" style="13"/>
  </cols>
  <sheetData>
    <row r="1" spans="3:42" s="16" customFormat="1" ht="39" customHeight="1">
      <c r="C1" s="73" t="s">
        <v>290</v>
      </c>
      <c r="D1" s="118" t="s">
        <v>291</v>
      </c>
      <c r="E1" s="118" t="s">
        <v>6</v>
      </c>
      <c r="F1" s="3" t="s">
        <v>292</v>
      </c>
      <c r="G1" s="2" t="s">
        <v>123</v>
      </c>
      <c r="H1" s="63" t="s">
        <v>124</v>
      </c>
      <c r="I1" s="63" t="s">
        <v>125</v>
      </c>
      <c r="J1" s="64" t="s">
        <v>126</v>
      </c>
      <c r="K1" s="64" t="s">
        <v>127</v>
      </c>
      <c r="L1" s="64" t="s">
        <v>186</v>
      </c>
      <c r="M1" s="1" t="s">
        <v>187</v>
      </c>
      <c r="N1" s="63" t="s">
        <v>293</v>
      </c>
      <c r="O1" s="63" t="s">
        <v>188</v>
      </c>
      <c r="P1" s="70" t="s">
        <v>189</v>
      </c>
      <c r="Q1" s="63" t="s">
        <v>190</v>
      </c>
      <c r="R1" s="70" t="s">
        <v>191</v>
      </c>
      <c r="S1" s="95" t="s">
        <v>192</v>
      </c>
      <c r="T1" s="95" t="s">
        <v>193</v>
      </c>
      <c r="U1" s="3" t="s">
        <v>194</v>
      </c>
      <c r="V1" s="3" t="s">
        <v>294</v>
      </c>
      <c r="W1" s="3" t="s">
        <v>295</v>
      </c>
      <c r="X1" s="3" t="s">
        <v>197</v>
      </c>
      <c r="Y1" s="3" t="s">
        <v>198</v>
      </c>
      <c r="Z1" s="4" t="s">
        <v>199</v>
      </c>
      <c r="AA1" s="4" t="s">
        <v>200</v>
      </c>
      <c r="AB1" s="170" t="s">
        <v>201</v>
      </c>
      <c r="AC1" s="3" t="s">
        <v>202</v>
      </c>
      <c r="AD1" s="3" t="s">
        <v>203</v>
      </c>
      <c r="AE1" s="3" t="s">
        <v>204</v>
      </c>
      <c r="AF1" s="3" t="s">
        <v>205</v>
      </c>
      <c r="AG1" s="3" t="s">
        <v>206</v>
      </c>
      <c r="AH1" s="3" t="s">
        <v>207</v>
      </c>
      <c r="AI1" s="3" t="s">
        <v>208</v>
      </c>
      <c r="AJ1" s="3" t="s">
        <v>209</v>
      </c>
      <c r="AK1" s="3" t="s">
        <v>210</v>
      </c>
      <c r="AL1" s="3" t="s">
        <v>211</v>
      </c>
      <c r="AM1" s="3" t="s">
        <v>212</v>
      </c>
      <c r="AN1" s="3" t="s">
        <v>213</v>
      </c>
      <c r="AO1" s="3" t="s">
        <v>296</v>
      </c>
    </row>
    <row r="2" spans="3:42" ht="63" hidden="1">
      <c r="C2" s="71">
        <f>IF(ACCIONES[[#This Row],[FECHA DE APERTURA]]="","",YEAR(ACCIONES[[#This Row],[FECHA DE APERTURA]]))</f>
        <v>2023</v>
      </c>
      <c r="D2" s="71">
        <f t="shared" ref="D2:D38" si="0">ROW()-1</f>
        <v>1</v>
      </c>
      <c r="E2" s="71" t="s">
        <v>297</v>
      </c>
      <c r="F2" s="72" t="e">
        <f t="shared" ref="F2:F38" si="1">IF(YEAR(H2)=YEAR(H1), F1+1, 1)</f>
        <v>#VALUE!</v>
      </c>
      <c r="G2" s="15" t="str">
        <f>IF(ACCIONES[[#This Row],[FECHA DE APERTURA]]="","",IF(ACCIONES[[#This Row],[Columna1]]="","AC#"&amp;ACCIONES[[#This Row],[foliox]]&amp;"\"&amp;YEAR(ACCIONES[[#This Row],[FECHA DE APERTURA]]),ACCIONES[[#This Row],[Columna1]]))</f>
        <v>AC#40\2023</v>
      </c>
      <c r="H2" s="17">
        <v>45050</v>
      </c>
      <c r="I2" s="18" t="s">
        <v>298</v>
      </c>
      <c r="J2" s="60">
        <v>45593</v>
      </c>
      <c r="K2" s="60">
        <v>45821</v>
      </c>
      <c r="L2" s="60"/>
      <c r="M2" s="19"/>
      <c r="N2" s="58" t="s">
        <v>19</v>
      </c>
      <c r="O2" s="57" t="s">
        <v>218</v>
      </c>
      <c r="P2" s="21" t="s">
        <v>299</v>
      </c>
      <c r="Q2" s="18" t="s">
        <v>300</v>
      </c>
      <c r="R2" s="21" t="s">
        <v>170</v>
      </c>
      <c r="S2" s="59">
        <v>45868</v>
      </c>
      <c r="T2" s="59">
        <v>45868</v>
      </c>
      <c r="U2" s="72">
        <f>IF(ACCIONES[[#This Row],[Fecha Recibido]]="","",IF(NETWORKDAYS(ACCIONES[[#This Row],[Fecha entrega]],ACCIONES[[#This Row],[Fecha Recibido]])&lt;=5,1,0))</f>
        <v>1</v>
      </c>
      <c r="V2" s="72" t="str">
        <f>IF(ACCIONES[[#This Row],[Fecha entrega]]="","",TEXT(ACCIONES[[#This Row],[Fecha entrega]],"MMMM"))</f>
        <v>julio</v>
      </c>
      <c r="W2" s="72">
        <f>IF(ACCIONES[[#This Row],[Fecha entrega]]="","",YEAR(ACCIONES[[#This Row],[Fecha entrega]]))</f>
        <v>2025</v>
      </c>
      <c r="X2" s="14" t="str">
        <f>IF(ACCIONES[[#This Row],[Fecha Recibido]]="","",TEXT(ACCIONES[[#This Row],[Fecha Recibido]],"mmmm"))</f>
        <v>julio</v>
      </c>
      <c r="Y2" s="14">
        <f>IF(ACCIONES[[#This Row],[Fecha Recibido]]="","",YEAR(ACCIONES[[#This Row],[Fecha Recibido]]))</f>
        <v>2025</v>
      </c>
      <c r="Z2" s="14" t="str">
        <f>_xlfn.CONCAT(ACCIONES[[#This Row],[DIRECCIÓN O GERENCIA]],ACCIONES[[#This Row],[ORIGEN]])</f>
        <v>Plantas PotabilizadorasIndicador</v>
      </c>
      <c r="AA2" s="14" t="str">
        <f>_xlfn.CONCAT(ACCIONES[[#This Row],[DIRECCIÓN O GERENCIA]],ACCIONES[[#This Row],[ESTATUS]])</f>
        <v>Plantas PotabilizadorasCerrada</v>
      </c>
      <c r="AB2" s="168">
        <f>IF(ACCIONES[[#This Row],[ESTATUS]]="","",MAX(ACCIONES[[#This Row],[FECHA DE CIERRE]:[REPLANTEO '#2 "Formato de replanteo"]]))</f>
        <v>45821</v>
      </c>
      <c r="AC2" s="14" t="str">
        <f ca="1">IFERROR(IF(ACCIONES[[#This Row],[FECHA DE CIERRE]]&gt;TODAY(),1,""),"")</f>
        <v/>
      </c>
      <c r="AD2" s="14" t="str">
        <f ca="1">IFERROR(IF(ACCIONES[[#This Row],[REPLANTEO '#1]]&gt;TODAY(),1,""),"")</f>
        <v/>
      </c>
      <c r="AE2" s="14" t="str">
        <f ca="1">IFERROR(IF(ACCIONES[[#This Row],[REPLANTEO '#2 "Formato de replanteo"]]&gt;TODAY(),1,""),"")</f>
        <v/>
      </c>
      <c r="AF2" s="14" t="str">
        <f ca="1">IFERROR(IF(ACCIONES[[#This Row],[REPLANTEO '#3]]&gt;TODAY(),1,""),"")</f>
        <v/>
      </c>
      <c r="AG2" s="14" t="str">
        <f>IFERROR(IF(ACCIONES[[#This Row],[ESTATUS]]="CIERRE",1,""),"")</f>
        <v/>
      </c>
      <c r="AH2" s="14">
        <f>IFERROR(IF(ACCIONES[[#This Row],[ESTATUS]]="CERRADA",1,""),"")</f>
        <v>1</v>
      </c>
      <c r="AI2" s="14" t="str">
        <f>IF(ACCIONES[[#This Row],[ESTATUS]]="Abierta",COUNT(ACCIONES[[#This Row],[CÓDIGO 4 EN FECHA DE CIERRE ]:[CÓDIGO 9 ESTATUS CERRADA]]),"")</f>
        <v/>
      </c>
      <c r="AJ2" s="14" t="str" cm="1">
        <f t="array" aca="1" ref="AJ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 s="14" t="str" cm="1">
        <f t="array" aca="1" ref="AK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 s="14" t="str" cm="1">
        <f t="array" aca="1" ref="AL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 s="14" t="str" cm="1">
        <f t="array" aca="1" ref="AM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 s="14" t="b">
        <f ca="1">IFERROR(COUNTIF(ACCIONES[[#This Row],[CÓDIGO 11 POR VENCER FECHA CIERRE]:[CÓDIGO 14 FUERA DE REPLANTEO 3]],3)=1," ")</f>
        <v>0</v>
      </c>
      <c r="AO2" s="14" t="str">
        <f>IFERROR(VLOOKUP(ACCIONES[[#This Row],[DIRECCIÓN O GERENCIA]],AREAS[#All],3,0),"")</f>
        <v>jaenriquez@oomapasc.gob.mx, agalvez@oomapasc.gob.mx</v>
      </c>
      <c r="AP2" s="14"/>
    </row>
    <row r="3" spans="3:42" ht="147" hidden="1">
      <c r="C3" s="71">
        <f>IF(ACCIONES[[#This Row],[FECHA DE APERTURA]]="","",YEAR(ACCIONES[[#This Row],[FECHA DE APERTURA]]))</f>
        <v>2024</v>
      </c>
      <c r="D3" s="71">
        <f>D2+1</f>
        <v>2</v>
      </c>
      <c r="E3" s="71" t="s">
        <v>301</v>
      </c>
      <c r="F3" s="72">
        <f t="shared" si="1"/>
        <v>1</v>
      </c>
      <c r="G3" s="15" t="str">
        <f>IF(ACCIONES[[#This Row],[FECHA DE APERTURA]]="","",IF(ACCIONES[[#This Row],[Columna1]]="","AC#"&amp;ACCIONES[[#This Row],[foliox]]&amp;"\"&amp;YEAR(ACCIONES[[#This Row],[FECHA DE APERTURA]]),ACCIONES[[#This Row],[Columna1]]))</f>
        <v>AC#5\2024</v>
      </c>
      <c r="H3" s="17">
        <v>45338</v>
      </c>
      <c r="I3" s="18" t="s">
        <v>302</v>
      </c>
      <c r="J3" s="62">
        <v>45457</v>
      </c>
      <c r="K3" s="62"/>
      <c r="L3" s="62"/>
      <c r="M3" s="19"/>
      <c r="N3" s="58" t="s">
        <v>303</v>
      </c>
      <c r="O3" s="57" t="s">
        <v>218</v>
      </c>
      <c r="P3" s="21" t="s">
        <v>304</v>
      </c>
      <c r="Q3" s="18"/>
      <c r="R3" s="21"/>
      <c r="S3" s="59"/>
      <c r="T3" s="59"/>
      <c r="U3" s="72" t="str">
        <f>IF(ACCIONES[[#This Row],[Fecha Recibido]]="","",IF(NETWORKDAYS(ACCIONES[[#This Row],[Fecha entrega]],ACCIONES[[#This Row],[Fecha Recibido]])&lt;=5,1,0))</f>
        <v/>
      </c>
      <c r="V3" s="72" t="str">
        <f>IF(ACCIONES[[#This Row],[Fecha entrega]]="","",TEXT(ACCIONES[[#This Row],[Fecha entrega]],"MMMM"))</f>
        <v/>
      </c>
      <c r="W3" s="72" t="str">
        <f>IF(ACCIONES[[#This Row],[Fecha entrega]]="","",YEAR(ACCIONES[[#This Row],[Fecha entrega]]))</f>
        <v/>
      </c>
      <c r="X3" s="14" t="str">
        <f>IF(ACCIONES[[#This Row],[Fecha Recibido]]="","",TEXT(ACCIONES[[#This Row],[Fecha Recibido]],"mmmm"))</f>
        <v/>
      </c>
      <c r="Y3" s="14" t="str">
        <f>IF(ACCIONES[[#This Row],[Fecha Recibido]]="","",YEAR(ACCIONES[[#This Row],[Fecha Recibido]]))</f>
        <v/>
      </c>
      <c r="Z3" s="14" t="str">
        <f>_xlfn.CONCAT(ACCIONES[[#This Row],[DIRECCIÓN O GERENCIA]],ACCIONES[[#This Row],[ORIGEN]])</f>
        <v>Seguridad industrialAuditoría externa</v>
      </c>
      <c r="AA3" s="14" t="str">
        <f>_xlfn.CONCAT(ACCIONES[[#This Row],[DIRECCIÓN O GERENCIA]],ACCIONES[[#This Row],[ESTATUS]])</f>
        <v>Seguridad industrialCerrada</v>
      </c>
      <c r="AB3" s="168">
        <f>IF(ACCIONES[[#This Row],[ESTATUS]]="","",MAX(ACCIONES[[#This Row],[FECHA DE CIERRE]:[REPLANTEO '#2 "Formato de replanteo"]]))</f>
        <v>45457</v>
      </c>
      <c r="AC3" s="14" t="str">
        <f ca="1">IFERROR(IF(ACCIONES[[#This Row],[FECHA DE CIERRE]]&gt;TODAY(),1,""),"")</f>
        <v/>
      </c>
      <c r="AD3" s="14" t="str">
        <f ca="1">IFERROR(IF(ACCIONES[[#This Row],[REPLANTEO '#1]]&gt;TODAY(),1,""),"")</f>
        <v/>
      </c>
      <c r="AE3" s="14" t="str">
        <f ca="1">IFERROR(IF(ACCIONES[[#This Row],[REPLANTEO '#2 "Formato de replanteo"]]&gt;TODAY(),1,""),"")</f>
        <v/>
      </c>
      <c r="AF3" s="14" t="str">
        <f ca="1">IFERROR(IF(ACCIONES[[#This Row],[REPLANTEO '#3]]&gt;TODAY(),1,""),"")</f>
        <v/>
      </c>
      <c r="AG3" s="14" t="str">
        <f>IFERROR(IF(ACCIONES[[#This Row],[ESTATUS]]="CIERRE",1,""),"")</f>
        <v/>
      </c>
      <c r="AH3" s="14">
        <f>IFERROR(IF(ACCIONES[[#This Row],[ESTATUS]]="CERRADA",1,""),"")</f>
        <v>1</v>
      </c>
      <c r="AI3" s="14" t="str">
        <f>IF(ACCIONES[[#This Row],[ESTATUS]]="Abierta",COUNT(ACCIONES[[#This Row],[CÓDIGO 4 EN FECHA DE CIERRE ]:[CÓDIGO 9 ESTATUS CERRADA]]),"")</f>
        <v/>
      </c>
      <c r="AJ3" s="14" t="str" cm="1">
        <f t="array" aca="1" ref="AJ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 s="14" t="str" cm="1">
        <f t="array" aca="1" ref="AK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 s="14" t="str" cm="1">
        <f t="array" aca="1" ref="AL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 s="14" t="str" cm="1">
        <f t="array" aca="1" ref="AM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 s="14" t="b">
        <f ca="1">IFERROR(COUNTIF(ACCIONES[[#This Row],[CÓDIGO 11 POR VENCER FECHA CIERRE]:[CÓDIGO 14 FUERA DE REPLANTEO 3]],3)=1," ")</f>
        <v>0</v>
      </c>
      <c r="AO3" s="14" t="str">
        <f>IFERROR(VLOOKUP(ACCIONES[[#This Row],[DIRECCIÓN O GERENCIA]],AREAS[#All],3,0),"")</f>
        <v>mavila@oomapasc.gob.mx</v>
      </c>
    </row>
    <row r="4" spans="3:42" ht="84" hidden="1">
      <c r="C4" s="71">
        <f>IF(ACCIONES[[#This Row],[FECHA DE APERTURA]]="","",YEAR(ACCIONES[[#This Row],[FECHA DE APERTURA]]))</f>
        <v>2024</v>
      </c>
      <c r="D4" s="71">
        <f t="shared" ref="D4:D19" si="2">D3+1</f>
        <v>3</v>
      </c>
      <c r="E4" s="71" t="s">
        <v>305</v>
      </c>
      <c r="F4" s="72">
        <f t="shared" si="1"/>
        <v>2</v>
      </c>
      <c r="G4" s="15" t="str">
        <f>IF(ACCIONES[[#This Row],[FECHA DE APERTURA]]="","",IF(ACCIONES[[#This Row],[Columna1]]="","AC#"&amp;ACCIONES[[#This Row],[foliox]]&amp;"\"&amp;YEAR(ACCIONES[[#This Row],[FECHA DE APERTURA]]),ACCIONES[[#This Row],[Columna1]]))</f>
        <v>AC#6\2024</v>
      </c>
      <c r="H4" s="17">
        <v>45421</v>
      </c>
      <c r="I4" s="18" t="s">
        <v>306</v>
      </c>
      <c r="J4" s="62">
        <v>45656</v>
      </c>
      <c r="K4" s="62">
        <v>45838</v>
      </c>
      <c r="L4" s="62"/>
      <c r="M4" s="19"/>
      <c r="N4" s="58" t="s">
        <v>92</v>
      </c>
      <c r="O4" s="57" t="s">
        <v>218</v>
      </c>
      <c r="P4" s="21" t="s">
        <v>307</v>
      </c>
      <c r="Q4" s="18" t="s">
        <v>308</v>
      </c>
      <c r="R4" s="21"/>
      <c r="S4" s="59"/>
      <c r="T4" s="59"/>
      <c r="U4" s="72" t="str">
        <f>IF(ACCIONES[[#This Row],[Fecha Recibido]]="","",IF(NETWORKDAYS(ACCIONES[[#This Row],[Fecha entrega]],ACCIONES[[#This Row],[Fecha Recibido]])&lt;=5,1,0))</f>
        <v/>
      </c>
      <c r="V4" s="72" t="str">
        <f>IF(ACCIONES[[#This Row],[Fecha entrega]]="","",TEXT(ACCIONES[[#This Row],[Fecha entrega]],"MMMM"))</f>
        <v/>
      </c>
      <c r="W4" s="72" t="str">
        <f>IF(ACCIONES[[#This Row],[Fecha entrega]]="","",YEAR(ACCIONES[[#This Row],[Fecha entrega]]))</f>
        <v/>
      </c>
      <c r="X4" s="14" t="str">
        <f>IF(ACCIONES[[#This Row],[Fecha Recibido]]="","",TEXT(ACCIONES[[#This Row],[Fecha Recibido]],"mmmm"))</f>
        <v/>
      </c>
      <c r="Y4" s="14" t="str">
        <f>IF(ACCIONES[[#This Row],[Fecha Recibido]]="","",YEAR(ACCIONES[[#This Row],[Fecha Recibido]]))</f>
        <v/>
      </c>
      <c r="Z4" s="14" t="str">
        <f>_xlfn.CONCAT(ACCIONES[[#This Row],[DIRECCIÓN O GERENCIA]],ACCIONES[[#This Row],[ORIGEN]])</f>
        <v>Suburbano TécnicoAuditoría #4</v>
      </c>
      <c r="AA4" s="14" t="str">
        <f>_xlfn.CONCAT(ACCIONES[[#This Row],[DIRECCIÓN O GERENCIA]],ACCIONES[[#This Row],[ESTATUS]])</f>
        <v>Suburbano TécnicoCerrada</v>
      </c>
      <c r="AB4" s="168">
        <f>IF(ACCIONES[[#This Row],[ESTATUS]]="","",MAX(ACCIONES[[#This Row],[FECHA DE CIERRE]:[REPLANTEO '#2 "Formato de replanteo"]]))</f>
        <v>45838</v>
      </c>
      <c r="AC4" s="14" t="str">
        <f ca="1">IFERROR(IF(ACCIONES[[#This Row],[FECHA DE CIERRE]]&gt;TODAY(),1,""),"")</f>
        <v/>
      </c>
      <c r="AD4" s="14" t="str">
        <f ca="1">IFERROR(IF(ACCIONES[[#This Row],[REPLANTEO '#1]]&gt;TODAY(),1,""),"")</f>
        <v/>
      </c>
      <c r="AE4" s="14" t="str">
        <f ca="1">IFERROR(IF(ACCIONES[[#This Row],[REPLANTEO '#2 "Formato de replanteo"]]&gt;TODAY(),1,""),"")</f>
        <v/>
      </c>
      <c r="AF4" s="14" t="str">
        <f ca="1">IFERROR(IF(ACCIONES[[#This Row],[REPLANTEO '#3]]&gt;TODAY(),1,""),"")</f>
        <v/>
      </c>
      <c r="AG4" s="14" t="str">
        <f>IFERROR(IF(ACCIONES[[#This Row],[ESTATUS]]="CIERRE",1,""),"")</f>
        <v/>
      </c>
      <c r="AH4" s="14">
        <f>IFERROR(IF(ACCIONES[[#This Row],[ESTATUS]]="CERRADA",1,""),"")</f>
        <v>1</v>
      </c>
      <c r="AI4" s="14" t="str">
        <f>IF(ACCIONES[[#This Row],[ESTATUS]]="Abierta",COUNT(ACCIONES[[#This Row],[CÓDIGO 4 EN FECHA DE CIERRE ]:[CÓDIGO 9 ESTATUS CERRADA]]),"")</f>
        <v/>
      </c>
      <c r="AJ4" s="14" t="str" cm="1">
        <f t="array" aca="1" ref="AJ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 s="14" t="str" cm="1">
        <f t="array" aca="1" ref="AK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 s="14" t="str" cm="1">
        <f t="array" aca="1" ref="AL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 s="14" t="str" cm="1">
        <f t="array" aca="1" ref="AM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 s="14" t="b">
        <f ca="1">IFERROR(COUNTIF(ACCIONES[[#This Row],[CÓDIGO 11 POR VENCER FECHA CIERRE]:[CÓDIGO 14 FUERA DE REPLANTEO 3]],3)=1," ")</f>
        <v>0</v>
      </c>
      <c r="AO4" s="14" t="str">
        <f>IFERROR(VLOOKUP(ACCIONES[[#This Row],[DIRECCIÓN O GERENCIA]],AREAS[#All],3,0),"")</f>
        <v>mmendoza@oomapasc.gob.mx</v>
      </c>
    </row>
    <row r="5" spans="3:42" ht="10.5" hidden="1">
      <c r="C5" s="71">
        <f>IF(ACCIONES[[#This Row],[FECHA DE APERTURA]]="","",YEAR(ACCIONES[[#This Row],[FECHA DE APERTURA]]))</f>
        <v>2024</v>
      </c>
      <c r="D5" s="71">
        <f t="shared" si="2"/>
        <v>4</v>
      </c>
      <c r="E5" s="71" t="e">
        <v>#VALUE!</v>
      </c>
      <c r="F5" s="72">
        <f t="shared" si="1"/>
        <v>3</v>
      </c>
      <c r="G5" s="15" t="e">
        <f>IF(ACCIONES[[#This Row],[FECHA DE APERTURA]]="","",IF(ACCIONES[[#This Row],[Columna1]]="","AC#"&amp;ACCIONES[[#This Row],[foliox]]&amp;"\"&amp;YEAR(ACCIONES[[#This Row],[FECHA DE APERTURA]]),ACCIONES[[#This Row],[Columna1]]))</f>
        <v>#VALUE!</v>
      </c>
      <c r="H5" s="17">
        <v>45554</v>
      </c>
      <c r="I5" s="18"/>
      <c r="J5" s="62"/>
      <c r="K5" s="62"/>
      <c r="L5" s="62"/>
      <c r="M5" s="19"/>
      <c r="N5" s="58"/>
      <c r="O5" s="57" t="s">
        <v>218</v>
      </c>
      <c r="P5" s="21" t="s">
        <v>299</v>
      </c>
      <c r="Q5" s="18"/>
      <c r="R5" s="21"/>
      <c r="S5" s="21"/>
      <c r="T5" s="21"/>
      <c r="U5" s="72" t="str">
        <f>IF(ACCIONES[[#This Row],[Fecha Recibido]]="","",IF(NETWORKDAYS(ACCIONES[[#This Row],[Fecha entrega]],ACCIONES[[#This Row],[Fecha Recibido]])&lt;=5,1,0))</f>
        <v/>
      </c>
      <c r="V5" s="72" t="str">
        <f>IF(ACCIONES[[#This Row],[Fecha entrega]]="","",TEXT(ACCIONES[[#This Row],[Fecha entrega]],"MMMM"))</f>
        <v/>
      </c>
      <c r="W5" s="72" t="str">
        <f>IF(ACCIONES[[#This Row],[Fecha entrega]]="","",YEAR(ACCIONES[[#This Row],[Fecha entrega]]))</f>
        <v/>
      </c>
      <c r="X5" s="14" t="str">
        <f>IF(ACCIONES[[#This Row],[Fecha Recibido]]="","",TEXT(ACCIONES[[#This Row],[Fecha Recibido]],"mmmm"))</f>
        <v/>
      </c>
      <c r="Y5" s="14" t="str">
        <f>IF(ACCIONES[[#This Row],[Fecha Recibido]]="","",YEAR(ACCIONES[[#This Row],[Fecha Recibido]]))</f>
        <v/>
      </c>
      <c r="Z5" s="14" t="str">
        <f>_xlfn.CONCAT(ACCIONES[[#This Row],[DIRECCIÓN O GERENCIA]],ACCIONES[[#This Row],[ORIGEN]])</f>
        <v>Indicador</v>
      </c>
      <c r="AA5" s="14" t="str">
        <f>_xlfn.CONCAT(ACCIONES[[#This Row],[DIRECCIÓN O GERENCIA]],ACCIONES[[#This Row],[ESTATUS]])</f>
        <v>Cerrada</v>
      </c>
      <c r="AB5" s="168">
        <f>IF(ACCIONES[[#This Row],[ESTATUS]]="","",MAX(ACCIONES[[#This Row],[FECHA DE CIERRE]:[REPLANTEO '#2 "Formato de replanteo"]]))</f>
        <v>0</v>
      </c>
      <c r="AC5" s="14" t="str">
        <f ca="1">IFERROR(IF(ACCIONES[[#This Row],[FECHA DE CIERRE]]&gt;TODAY(),1,""),"")</f>
        <v/>
      </c>
      <c r="AD5" s="14" t="str">
        <f ca="1">IFERROR(IF(ACCIONES[[#This Row],[REPLANTEO '#1]]&gt;TODAY(),1,""),"")</f>
        <v/>
      </c>
      <c r="AE5" s="14" t="str">
        <f ca="1">IFERROR(IF(ACCIONES[[#This Row],[REPLANTEO '#2 "Formato de replanteo"]]&gt;TODAY(),1,""),"")</f>
        <v/>
      </c>
      <c r="AF5" s="14" t="str">
        <f ca="1">IFERROR(IF(ACCIONES[[#This Row],[REPLANTEO '#3]]&gt;TODAY(),1,""),"")</f>
        <v/>
      </c>
      <c r="AG5" s="14" t="str">
        <f>IFERROR(IF(ACCIONES[[#This Row],[ESTATUS]]="CIERRE",1,""),"")</f>
        <v/>
      </c>
      <c r="AH5" s="14">
        <f>IFERROR(IF(ACCIONES[[#This Row],[ESTATUS]]="CERRADA",1,""),"")</f>
        <v>1</v>
      </c>
      <c r="AI5" s="14" t="str">
        <f>IF(ACCIONES[[#This Row],[ESTATUS]]="Abierta",COUNT(ACCIONES[[#This Row],[CÓDIGO 4 EN FECHA DE CIERRE ]:[CÓDIGO 9 ESTATUS CERRADA]]),"")</f>
        <v/>
      </c>
      <c r="AJ5" s="14" t="str" cm="1">
        <f t="array" aca="1" ref="AJ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5" s="14" t="str" cm="1">
        <f t="array" aca="1" ref="AK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 s="14" t="str" cm="1">
        <f t="array" aca="1" ref="AL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 s="14" t="str" cm="1">
        <f t="array" aca="1" ref="AM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 s="14" t="b">
        <f ca="1">IFERROR(COUNTIF(ACCIONES[[#This Row],[CÓDIGO 11 POR VENCER FECHA CIERRE]:[CÓDIGO 14 FUERA DE REPLANTEO 3]],3)=1," ")</f>
        <v>0</v>
      </c>
      <c r="AO5" s="14" t="str">
        <f>IFERROR(VLOOKUP(ACCIONES[[#This Row],[DIRECCIÓN O GERENCIA]],AREAS[#All],3,0),"")</f>
        <v/>
      </c>
    </row>
    <row r="6" spans="3:42" ht="52.5" hidden="1">
      <c r="C6" s="71">
        <f>IF(ACCIONES[[#This Row],[FECHA DE APERTURA]]="","",YEAR(ACCIONES[[#This Row],[FECHA DE APERTURA]]))</f>
        <v>2024</v>
      </c>
      <c r="D6" s="71">
        <f t="shared" si="2"/>
        <v>5</v>
      </c>
      <c r="E6" s="71"/>
      <c r="F6" s="72">
        <f t="shared" si="1"/>
        <v>4</v>
      </c>
      <c r="G6" s="15" t="str">
        <f>IF(ACCIONES[[#This Row],[FECHA DE APERTURA]]="","",IF(ACCIONES[[#This Row],[Columna1]]="","AC#"&amp;ACCIONES[[#This Row],[foliox]]&amp;"\"&amp;YEAR(ACCIONES[[#This Row],[FECHA DE APERTURA]]),ACCIONES[[#This Row],[Columna1]]))</f>
        <v>AC#4\2024</v>
      </c>
      <c r="H6" s="17">
        <v>45401</v>
      </c>
      <c r="I6" s="18" t="s">
        <v>309</v>
      </c>
      <c r="J6" s="60">
        <v>45672</v>
      </c>
      <c r="K6" s="60"/>
      <c r="L6" s="60"/>
      <c r="M6" s="19"/>
      <c r="N6" s="58" t="s">
        <v>310</v>
      </c>
      <c r="O6" s="57" t="s">
        <v>218</v>
      </c>
      <c r="P6" s="21" t="s">
        <v>311</v>
      </c>
      <c r="Q6" s="18"/>
      <c r="R6" s="21"/>
      <c r="S6" s="21"/>
      <c r="T6" s="21"/>
      <c r="U6" s="72" t="str">
        <f>IF(ACCIONES[[#This Row],[Fecha Recibido]]="","",IF(NETWORKDAYS(ACCIONES[[#This Row],[Fecha entrega]],ACCIONES[[#This Row],[Fecha Recibido]])&lt;=5,1,0))</f>
        <v/>
      </c>
      <c r="V6" s="72" t="str">
        <f>IF(ACCIONES[[#This Row],[Fecha entrega]]="","",TEXT(ACCIONES[[#This Row],[Fecha entrega]],"MMMM"))</f>
        <v/>
      </c>
      <c r="W6" s="72" t="str">
        <f>IF(ACCIONES[[#This Row],[Fecha entrega]]="","",YEAR(ACCIONES[[#This Row],[Fecha entrega]]))</f>
        <v/>
      </c>
      <c r="X6" s="14" t="str">
        <f>IF(ACCIONES[[#This Row],[Fecha Recibido]]="","",TEXT(ACCIONES[[#This Row],[Fecha Recibido]],"mmmm"))</f>
        <v/>
      </c>
      <c r="Y6" s="14" t="str">
        <f>IF(ACCIONES[[#This Row],[Fecha Recibido]]="","",YEAR(ACCIONES[[#This Row],[Fecha Recibido]]))</f>
        <v/>
      </c>
      <c r="Z6" s="14" t="str">
        <f>_xlfn.CONCAT(ACCIONES[[#This Row],[DIRECCIÓN O GERENCIA]],ACCIONES[[#This Row],[ORIGEN]])</f>
        <v>Comunicación e imagen institucionalindicador</v>
      </c>
      <c r="AA6" s="14" t="str">
        <f>_xlfn.CONCAT(ACCIONES[[#This Row],[DIRECCIÓN O GERENCIA]],ACCIONES[[#This Row],[ESTATUS]])</f>
        <v>Comunicación e imagen institucionalCerrada</v>
      </c>
      <c r="AB6" s="168">
        <f>IF(ACCIONES[[#This Row],[ESTATUS]]="","",MAX(ACCIONES[[#This Row],[FECHA DE CIERRE]:[REPLANTEO '#2 "Formato de replanteo"]]))</f>
        <v>45672</v>
      </c>
      <c r="AC6" s="14" t="str">
        <f ca="1">IFERROR(IF(ACCIONES[[#This Row],[FECHA DE CIERRE]]&gt;TODAY(),1,""),"")</f>
        <v/>
      </c>
      <c r="AD6" s="14" t="str">
        <f ca="1">IFERROR(IF(ACCIONES[[#This Row],[REPLANTEO '#1]]&gt;TODAY(),1,""),"")</f>
        <v/>
      </c>
      <c r="AE6" s="14" t="str">
        <f ca="1">IFERROR(IF(ACCIONES[[#This Row],[REPLANTEO '#2 "Formato de replanteo"]]&gt;TODAY(),1,""),"")</f>
        <v/>
      </c>
      <c r="AF6" s="14" t="str">
        <f ca="1">IFERROR(IF(ACCIONES[[#This Row],[REPLANTEO '#3]]&gt;TODAY(),1,""),"")</f>
        <v/>
      </c>
      <c r="AG6" s="14" t="str">
        <f>IFERROR(IF(ACCIONES[[#This Row],[ESTATUS]]="CIERRE",1,""),"")</f>
        <v/>
      </c>
      <c r="AH6" s="14">
        <f>IFERROR(IF(ACCIONES[[#This Row],[ESTATUS]]="CERRADA",1,""),"")</f>
        <v>1</v>
      </c>
      <c r="AI6" s="14" t="str">
        <f>IF(ACCIONES[[#This Row],[ESTATUS]]="Abierta",COUNT(ACCIONES[[#This Row],[CÓDIGO 4 EN FECHA DE CIERRE ]:[CÓDIGO 9 ESTATUS CERRADA]]),"")</f>
        <v/>
      </c>
      <c r="AJ6" s="14" t="str" cm="1">
        <f t="array" aca="1" ref="AJ6"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6" s="14" t="str" cm="1">
        <f t="array" aca="1" ref="AK6"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 s="14" t="str" cm="1">
        <f t="array" aca="1" ref="AL6"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 s="14" t="str" cm="1">
        <f t="array" aca="1" ref="AM6"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 s="14" t="b">
        <f ca="1">IFERROR(COUNTIF(ACCIONES[[#This Row],[CÓDIGO 11 POR VENCER FECHA CIERRE]:[CÓDIGO 14 FUERA DE REPLANTEO 3]],3)=1," ")</f>
        <v>0</v>
      </c>
      <c r="AO6" s="14" t="str">
        <f>IFERROR(VLOOKUP(ACCIONES[[#This Row],[DIRECCIÓN O GERENCIA]],AREAS[#All],3,0),"")</f>
        <v>comunicacion@oomapasc.gob.mx, badilla@oomapasc.gob.mx</v>
      </c>
    </row>
    <row r="7" spans="3:42" ht="147" hidden="1">
      <c r="C7" s="71">
        <f>IF(ACCIONES[[#This Row],[FECHA DE APERTURA]]="","",YEAR(ACCIONES[[#This Row],[FECHA DE APERTURA]]))</f>
        <v>2024</v>
      </c>
      <c r="D7" s="71">
        <f t="shared" si="2"/>
        <v>6</v>
      </c>
      <c r="E7" s="71" t="e">
        <v>#VALUE!</v>
      </c>
      <c r="F7" s="72">
        <f t="shared" si="1"/>
        <v>5</v>
      </c>
      <c r="G7" s="15" t="e">
        <f>IF(ACCIONES[[#This Row],[FECHA DE APERTURA]]="","",IF(ACCIONES[[#This Row],[Columna1]]="","AC#"&amp;ACCIONES[[#This Row],[foliox]]&amp;"\"&amp;YEAR(ACCIONES[[#This Row],[FECHA DE APERTURA]]),ACCIONES[[#This Row],[Columna1]]))</f>
        <v>#VALUE!</v>
      </c>
      <c r="H7" s="17">
        <v>45338</v>
      </c>
      <c r="I7" s="18" t="s">
        <v>302</v>
      </c>
      <c r="J7" s="60">
        <v>45457</v>
      </c>
      <c r="K7" s="60"/>
      <c r="L7" s="60"/>
      <c r="M7" s="19"/>
      <c r="N7" s="58" t="s">
        <v>303</v>
      </c>
      <c r="O7" s="57" t="s">
        <v>218</v>
      </c>
      <c r="P7" s="21" t="s">
        <v>312</v>
      </c>
      <c r="Q7" s="18"/>
      <c r="R7" s="21"/>
      <c r="S7" s="21"/>
      <c r="T7" s="21"/>
      <c r="U7" s="72" t="str">
        <f>IF(ACCIONES[[#This Row],[Fecha Recibido]]="","",IF(NETWORKDAYS(ACCIONES[[#This Row],[Fecha entrega]],ACCIONES[[#This Row],[Fecha Recibido]])&lt;=5,1,0))</f>
        <v/>
      </c>
      <c r="V7" s="72" t="str">
        <f>IF(ACCIONES[[#This Row],[Fecha entrega]]="","",TEXT(ACCIONES[[#This Row],[Fecha entrega]],"MMMM"))</f>
        <v/>
      </c>
      <c r="W7" s="72" t="str">
        <f>IF(ACCIONES[[#This Row],[Fecha entrega]]="","",YEAR(ACCIONES[[#This Row],[Fecha entrega]]))</f>
        <v/>
      </c>
      <c r="X7" s="14" t="str">
        <f>IF(ACCIONES[[#This Row],[Fecha Recibido]]="","",TEXT(ACCIONES[[#This Row],[Fecha Recibido]],"mmmm"))</f>
        <v/>
      </c>
      <c r="Y7" s="14" t="str">
        <f>IF(ACCIONES[[#This Row],[Fecha Recibido]]="","",YEAR(ACCIONES[[#This Row],[Fecha Recibido]]))</f>
        <v/>
      </c>
      <c r="Z7" s="14" t="str">
        <f>_xlfn.CONCAT(ACCIONES[[#This Row],[DIRECCIÓN O GERENCIA]],ACCIONES[[#This Row],[ORIGEN]])</f>
        <v>Seguridad industrialAuditoría Externa</v>
      </c>
      <c r="AA7" s="14" t="str">
        <f>_xlfn.CONCAT(ACCIONES[[#This Row],[DIRECCIÓN O GERENCIA]],ACCIONES[[#This Row],[ESTATUS]])</f>
        <v>Seguridad industrialCerrada</v>
      </c>
      <c r="AB7" s="168">
        <f>IF(ACCIONES[[#This Row],[ESTATUS]]="","",MAX(ACCIONES[[#This Row],[FECHA DE CIERRE]:[REPLANTEO '#2 "Formato de replanteo"]]))</f>
        <v>45457</v>
      </c>
      <c r="AC7" s="14" t="str">
        <f ca="1">IFERROR(IF(ACCIONES[[#This Row],[FECHA DE CIERRE]]&gt;TODAY(),1,""),"")</f>
        <v/>
      </c>
      <c r="AD7" s="14" t="str">
        <f ca="1">IFERROR(IF(ACCIONES[[#This Row],[REPLANTEO '#1]]&gt;TODAY(),1,""),"")</f>
        <v/>
      </c>
      <c r="AE7" s="14" t="str">
        <f ca="1">IFERROR(IF(ACCIONES[[#This Row],[REPLANTEO '#2 "Formato de replanteo"]]&gt;TODAY(),1,""),"")</f>
        <v/>
      </c>
      <c r="AF7" s="14" t="str">
        <f ca="1">IFERROR(IF(ACCIONES[[#This Row],[REPLANTEO '#3]]&gt;TODAY(),1,""),"")</f>
        <v/>
      </c>
      <c r="AG7" s="14" t="str">
        <f>IFERROR(IF(ACCIONES[[#This Row],[ESTATUS]]="CIERRE",1,""),"")</f>
        <v/>
      </c>
      <c r="AH7" s="14">
        <f>IFERROR(IF(ACCIONES[[#This Row],[ESTATUS]]="CERRADA",1,""),"")</f>
        <v>1</v>
      </c>
      <c r="AI7" s="14" t="str">
        <f>IF(ACCIONES[[#This Row],[ESTATUS]]="Abierta",COUNT(ACCIONES[[#This Row],[CÓDIGO 4 EN FECHA DE CIERRE ]:[CÓDIGO 9 ESTATUS CERRADA]]),"")</f>
        <v/>
      </c>
      <c r="AJ7" s="14" t="str" cm="1">
        <f t="array" aca="1" ref="AJ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7" s="14" t="str" cm="1">
        <f t="array" aca="1" ref="AK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7" s="14" t="str" cm="1">
        <f t="array" aca="1" ref="AL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7" s="14" t="str" cm="1">
        <f t="array" aca="1" ref="AM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7" s="14" t="b">
        <f ca="1">IFERROR(COUNTIF(ACCIONES[[#This Row],[CÓDIGO 11 POR VENCER FECHA CIERRE]:[CÓDIGO 14 FUERA DE REPLANTEO 3]],3)=1," ")</f>
        <v>0</v>
      </c>
      <c r="AO7" s="14" t="str">
        <f>IFERROR(VLOOKUP(ACCIONES[[#This Row],[DIRECCIÓN O GERENCIA]],AREAS[#All],3,0),"")</f>
        <v>mavila@oomapasc.gob.mx</v>
      </c>
    </row>
    <row r="8" spans="3:42" ht="101.25" hidden="1" customHeight="1">
      <c r="C8" s="71">
        <f>IF(ACCIONES[[#This Row],[FECHA DE APERTURA]]="","",YEAR(ACCIONES[[#This Row],[FECHA DE APERTURA]]))</f>
        <v>2024</v>
      </c>
      <c r="D8" s="71">
        <f t="shared" si="2"/>
        <v>7</v>
      </c>
      <c r="E8" s="71" t="s">
        <v>313</v>
      </c>
      <c r="F8" s="72">
        <f t="shared" si="1"/>
        <v>6</v>
      </c>
      <c r="G8" s="15" t="str">
        <f>IF(ACCIONES[[#This Row],[FECHA DE APERTURA]]="","",IF(ACCIONES[[#This Row],[Columna1]]="","AC#"&amp;ACCIONES[[#This Row],[foliox]]&amp;"\"&amp;YEAR(ACCIONES[[#This Row],[FECHA DE APERTURA]]),ACCIONES[[#This Row],[Columna1]]))</f>
        <v>AC#16\2024</v>
      </c>
      <c r="H8" s="17">
        <v>45446</v>
      </c>
      <c r="I8" s="18" t="s">
        <v>314</v>
      </c>
      <c r="J8" s="62">
        <v>45534</v>
      </c>
      <c r="K8" s="62">
        <v>45708</v>
      </c>
      <c r="L8" s="62">
        <v>45930</v>
      </c>
      <c r="M8" s="19"/>
      <c r="N8" s="58" t="s">
        <v>12</v>
      </c>
      <c r="O8" s="57" t="s">
        <v>218</v>
      </c>
      <c r="P8" s="21" t="s">
        <v>315</v>
      </c>
      <c r="Q8" s="18" t="s">
        <v>316</v>
      </c>
      <c r="R8" s="21" t="s">
        <v>166</v>
      </c>
      <c r="S8" s="59">
        <v>45876</v>
      </c>
      <c r="T8" s="59">
        <v>45876</v>
      </c>
      <c r="U8" s="72">
        <f>IF(ACCIONES[[#This Row],[Fecha Recibido]]="","",IF(NETWORKDAYS(ACCIONES[[#This Row],[Fecha entrega]],ACCIONES[[#This Row],[Fecha Recibido]])&lt;=5,1,0))</f>
        <v>1</v>
      </c>
      <c r="V8" s="72" t="str">
        <f>IF(ACCIONES[[#This Row],[Fecha entrega]]="","",TEXT(ACCIONES[[#This Row],[Fecha entrega]],"MMMM"))</f>
        <v>agosto</v>
      </c>
      <c r="W8" s="72">
        <f>IF(ACCIONES[[#This Row],[Fecha entrega]]="","",YEAR(ACCIONES[[#This Row],[Fecha entrega]]))</f>
        <v>2025</v>
      </c>
      <c r="X8" s="14" t="str">
        <f>IF(ACCIONES[[#This Row],[Fecha Recibido]]="","",TEXT(ACCIONES[[#This Row],[Fecha Recibido]],"mmmm"))</f>
        <v>agosto</v>
      </c>
      <c r="Y8" s="14">
        <f>IF(ACCIONES[[#This Row],[Fecha Recibido]]="","",YEAR(ACCIONES[[#This Row],[Fecha Recibido]]))</f>
        <v>2025</v>
      </c>
      <c r="Z8" s="14" t="str">
        <f>_xlfn.CONCAT(ACCIONES[[#This Row],[DIRECCIÓN O GERENCIA]],ACCIONES[[#This Row],[ORIGEN]])</f>
        <v>Alcantarillado y SaneamientoAuditoría</v>
      </c>
      <c r="AA8" s="14" t="str">
        <f>_xlfn.CONCAT(ACCIONES[[#This Row],[DIRECCIÓN O GERENCIA]],ACCIONES[[#This Row],[ESTATUS]])</f>
        <v>Alcantarillado y SaneamientoCerrada</v>
      </c>
      <c r="AB8" s="168">
        <f>IF(ACCIONES[[#This Row],[ESTATUS]]="","",MAX(ACCIONES[[#This Row],[FECHA DE CIERRE]:[REPLANTEO '#2 "Formato de replanteo"]]))</f>
        <v>45930</v>
      </c>
      <c r="AC8" s="14" t="str">
        <f ca="1">IFERROR(IF(ACCIONES[[#This Row],[FECHA DE CIERRE]]&gt;TODAY(),1,""),"")</f>
        <v/>
      </c>
      <c r="AD8" s="14" t="str">
        <f ca="1">IFERROR(IF(ACCIONES[[#This Row],[REPLANTEO '#1]]&gt;TODAY(),1,""),"")</f>
        <v/>
      </c>
      <c r="AE8" s="14" t="str">
        <f ca="1">IFERROR(IF(ACCIONES[[#This Row],[REPLANTEO '#2 "Formato de replanteo"]]&gt;TODAY(),1,""),"")</f>
        <v/>
      </c>
      <c r="AF8" s="14" t="str">
        <f ca="1">IFERROR(IF(ACCIONES[[#This Row],[REPLANTEO '#3]]&gt;TODAY(),1,""),"")</f>
        <v/>
      </c>
      <c r="AG8" s="14" t="str">
        <f>IFERROR(IF(ACCIONES[[#This Row],[ESTATUS]]="CIERRE",1,""),"")</f>
        <v/>
      </c>
      <c r="AH8" s="14">
        <f>IFERROR(IF(ACCIONES[[#This Row],[ESTATUS]]="CERRADA",1,""),"")</f>
        <v>1</v>
      </c>
      <c r="AI8" s="14" t="str">
        <f>IF(ACCIONES[[#This Row],[ESTATUS]]="Abierta",COUNT(ACCIONES[[#This Row],[CÓDIGO 4 EN FECHA DE CIERRE ]:[CÓDIGO 9 ESTATUS CERRADA]]),"")</f>
        <v/>
      </c>
      <c r="AJ8" s="14" t="str" cm="1">
        <f t="array" aca="1" ref="AJ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8" s="14" t="str" cm="1">
        <f t="array" aca="1" ref="AK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8" s="14" t="str" cm="1">
        <f t="array" aca="1" ref="AL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8" s="14" t="str" cm="1">
        <f t="array" aca="1" ref="AM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8" s="14" t="b">
        <f ca="1">IFERROR(COUNTIF(ACCIONES[[#This Row],[CÓDIGO 11 POR VENCER FECHA CIERRE]:[CÓDIGO 14 FUERA DE REPLANTEO 3]],3)=1," ")</f>
        <v>0</v>
      </c>
      <c r="AO8" s="14" t="str">
        <f>IFERROR(VLOOKUP(ACCIONES[[#This Row],[DIRECCIÓN O GERENCIA]],AREAS[#All],3,0),"")</f>
        <v>agastelum@oomapasc.gob.mx, cflores@oomapasc.gob.mx</v>
      </c>
    </row>
    <row r="9" spans="3:42" ht="126" hidden="1">
      <c r="C9" s="71">
        <f>IF(ACCIONES[[#This Row],[FECHA DE APERTURA]]="","",YEAR(ACCIONES[[#This Row],[FECHA DE APERTURA]]))</f>
        <v>2024</v>
      </c>
      <c r="D9" s="71">
        <f t="shared" si="2"/>
        <v>8</v>
      </c>
      <c r="E9" s="71" t="s">
        <v>317</v>
      </c>
      <c r="F9" s="72">
        <f t="shared" si="1"/>
        <v>7</v>
      </c>
      <c r="G9" s="15" t="str">
        <f>IF(ACCIONES[[#This Row],[FECHA DE APERTURA]]="","",IF(ACCIONES[[#This Row],[Columna1]]="","AC#"&amp;ACCIONES[[#This Row],[foliox]]&amp;"\"&amp;YEAR(ACCIONES[[#This Row],[FECHA DE APERTURA]]),ACCIONES[[#This Row],[Columna1]]))</f>
        <v>AC#19\2024</v>
      </c>
      <c r="H9" s="17">
        <v>45527</v>
      </c>
      <c r="I9" s="18" t="s">
        <v>318</v>
      </c>
      <c r="J9" s="62">
        <v>45797</v>
      </c>
      <c r="K9" s="62">
        <v>45890</v>
      </c>
      <c r="L9" s="62">
        <v>45924</v>
      </c>
      <c r="M9" s="19"/>
      <c r="N9" s="58" t="s">
        <v>78</v>
      </c>
      <c r="O9" s="57" t="s">
        <v>218</v>
      </c>
      <c r="P9" s="21" t="s">
        <v>319</v>
      </c>
      <c r="Q9" s="18" t="s">
        <v>103</v>
      </c>
      <c r="R9" s="21" t="s">
        <v>162</v>
      </c>
      <c r="S9" s="59">
        <v>45910</v>
      </c>
      <c r="T9" s="59">
        <v>45912</v>
      </c>
      <c r="U9" s="72">
        <f>IF(ACCIONES[[#This Row],[Fecha Recibido]]="","",IF(NETWORKDAYS(ACCIONES[[#This Row],[Fecha entrega]],ACCIONES[[#This Row],[Fecha Recibido]])&lt;=5,1,0))</f>
        <v>1</v>
      </c>
      <c r="V9" s="72" t="str">
        <f>IF(ACCIONES[[#This Row],[Fecha entrega]]="","",TEXT(ACCIONES[[#This Row],[Fecha entrega]],"MMMM"))</f>
        <v>septiembre</v>
      </c>
      <c r="W9" s="72">
        <f>IF(ACCIONES[[#This Row],[Fecha entrega]]="","",YEAR(ACCIONES[[#This Row],[Fecha entrega]]))</f>
        <v>2025</v>
      </c>
      <c r="X9" s="14" t="str">
        <f>IF(ACCIONES[[#This Row],[Fecha Recibido]]="","",TEXT(ACCIONES[[#This Row],[Fecha Recibido]],"mmmm"))</f>
        <v>septiembre</v>
      </c>
      <c r="Y9" s="14">
        <f>IF(ACCIONES[[#This Row],[Fecha Recibido]]="","",YEAR(ACCIONES[[#This Row],[Fecha Recibido]]))</f>
        <v>2025</v>
      </c>
      <c r="Z9" s="14" t="str">
        <f>_xlfn.CONCAT(ACCIONES[[#This Row],[DIRECCIÓN O GERENCIA]],ACCIONES[[#This Row],[ORIGEN]])</f>
        <v>Seguridad IndustrialAuditoría #7</v>
      </c>
      <c r="AA9" s="14" t="str">
        <f>_xlfn.CONCAT(ACCIONES[[#This Row],[DIRECCIÓN O GERENCIA]],ACCIONES[[#This Row],[ESTATUS]])</f>
        <v>Seguridad IndustrialCerrada</v>
      </c>
      <c r="AB9" s="168">
        <f>IF(ACCIONES[[#This Row],[ESTATUS]]="","",MAX(ACCIONES[[#This Row],[FECHA DE CIERRE]:[REPLANTEO '#2 "Formato de replanteo"]]))</f>
        <v>45924</v>
      </c>
      <c r="AC9" s="14" t="str">
        <f ca="1">IFERROR(IF(ACCIONES[[#This Row],[FECHA DE CIERRE]]&gt;TODAY(),1,""),"")</f>
        <v/>
      </c>
      <c r="AD9" s="14" t="str">
        <f ca="1">IFERROR(IF(ACCIONES[[#This Row],[REPLANTEO '#1]]&gt;TODAY(),1,""),"")</f>
        <v/>
      </c>
      <c r="AE9" s="14" t="str">
        <f ca="1">IFERROR(IF(ACCIONES[[#This Row],[REPLANTEO '#2 "Formato de replanteo"]]&gt;TODAY(),1,""),"")</f>
        <v/>
      </c>
      <c r="AF9" s="14" t="str">
        <f ca="1">IFERROR(IF(ACCIONES[[#This Row],[REPLANTEO '#3]]&gt;TODAY(),1,""),"")</f>
        <v/>
      </c>
      <c r="AG9" s="14" t="str">
        <f>IFERROR(IF(ACCIONES[[#This Row],[ESTATUS]]="CIERRE",1,""),"")</f>
        <v/>
      </c>
      <c r="AH9" s="14">
        <f>IFERROR(IF(ACCIONES[[#This Row],[ESTATUS]]="CERRADA",1,""),"")</f>
        <v>1</v>
      </c>
      <c r="AI9" s="14" t="str">
        <f>IF(ACCIONES[[#This Row],[ESTATUS]]="Abierta",COUNT(ACCIONES[[#This Row],[CÓDIGO 4 EN FECHA DE CIERRE ]:[CÓDIGO 9 ESTATUS CERRADA]]),"")</f>
        <v/>
      </c>
      <c r="AJ9" s="14" t="str" cm="1">
        <f t="array" aca="1" ref="AJ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9" s="14" t="str" cm="1">
        <f t="array" aca="1" ref="AK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9" s="14" t="str" cm="1">
        <f t="array" aca="1" ref="AL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9" s="14" t="str" cm="1">
        <f t="array" aca="1" ref="AM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9" s="14" t="b">
        <f ca="1">IFERROR(COUNTIF(ACCIONES[[#This Row],[CÓDIGO 11 POR VENCER FECHA CIERRE]:[CÓDIGO 14 FUERA DE REPLANTEO 3]],3)=1," ")</f>
        <v>0</v>
      </c>
      <c r="AO9" s="14" t="str">
        <f>IFERROR(VLOOKUP(ACCIONES[[#This Row],[DIRECCIÓN O GERENCIA]],AREAS[#All],3,0),"")</f>
        <v>mavila@oomapasc.gob.mx</v>
      </c>
    </row>
    <row r="10" spans="3:42" ht="42" hidden="1">
      <c r="C10" s="71">
        <f>IF(ACCIONES[[#This Row],[FECHA DE APERTURA]]="","",YEAR(ACCIONES[[#This Row],[FECHA DE APERTURA]]))</f>
        <v>2024</v>
      </c>
      <c r="D10" s="71">
        <f t="shared" si="2"/>
        <v>9</v>
      </c>
      <c r="E10" s="71" t="s">
        <v>320</v>
      </c>
      <c r="F10" s="72">
        <f t="shared" si="1"/>
        <v>8</v>
      </c>
      <c r="G10" s="15" t="str">
        <f>IF(ACCIONES[[#This Row],[FECHA DE APERTURA]]="","",IF(ACCIONES[[#This Row],[Columna1]]="","AC#"&amp;ACCIONES[[#This Row],[foliox]]&amp;"\"&amp;YEAR(ACCIONES[[#This Row],[FECHA DE APERTURA]]),ACCIONES[[#This Row],[Columna1]]))</f>
        <v>AC#7\2024</v>
      </c>
      <c r="H10" s="17">
        <v>45554</v>
      </c>
      <c r="I10" s="18" t="s">
        <v>321</v>
      </c>
      <c r="J10" s="62">
        <v>45653</v>
      </c>
      <c r="K10" s="62">
        <v>45765</v>
      </c>
      <c r="L10" s="62"/>
      <c r="M10" s="19"/>
      <c r="N10" s="58" t="s">
        <v>7</v>
      </c>
      <c r="O10" s="57" t="s">
        <v>218</v>
      </c>
      <c r="P10" s="21" t="s">
        <v>299</v>
      </c>
      <c r="Q10" s="18"/>
      <c r="R10" s="21" t="s">
        <v>173</v>
      </c>
      <c r="S10" s="59">
        <v>45765</v>
      </c>
      <c r="T10" s="59">
        <v>45770</v>
      </c>
      <c r="U10" s="72">
        <f>IF(ACCIONES[[#This Row],[Fecha Recibido]]="","",IF(NETWORKDAYS(ACCIONES[[#This Row],[Fecha entrega]],ACCIONES[[#This Row],[Fecha Recibido]])&lt;=5,1,0))</f>
        <v>1</v>
      </c>
      <c r="V10" s="72" t="str">
        <f>IF(ACCIONES[[#This Row],[Fecha entrega]]="","",TEXT(ACCIONES[[#This Row],[Fecha entrega]],"MMMM"))</f>
        <v>abril</v>
      </c>
      <c r="W10" s="72">
        <f>IF(ACCIONES[[#This Row],[Fecha entrega]]="","",YEAR(ACCIONES[[#This Row],[Fecha entrega]]))</f>
        <v>2025</v>
      </c>
      <c r="X10" s="14" t="str">
        <f>IF(ACCIONES[[#This Row],[Fecha Recibido]]="","",TEXT(ACCIONES[[#This Row],[Fecha Recibido]],"mmmm"))</f>
        <v>abril</v>
      </c>
      <c r="Y10" s="14">
        <f>IF(ACCIONES[[#This Row],[Fecha Recibido]]="","",YEAR(ACCIONES[[#This Row],[Fecha Recibido]]))</f>
        <v>2025</v>
      </c>
      <c r="Z10" s="14" t="str">
        <f>_xlfn.CONCAT(ACCIONES[[#This Row],[DIRECCIÓN O GERENCIA]],ACCIONES[[#This Row],[ORIGEN]])</f>
        <v>Mantenimiento de RedesIndicador</v>
      </c>
      <c r="AA10" s="14" t="str">
        <f>_xlfn.CONCAT(ACCIONES[[#This Row],[DIRECCIÓN O GERENCIA]],ACCIONES[[#This Row],[ESTATUS]])</f>
        <v>Mantenimiento de RedesCerrada</v>
      </c>
      <c r="AB10" s="168">
        <f>IF(ACCIONES[[#This Row],[ESTATUS]]="","",MAX(ACCIONES[[#This Row],[FECHA DE CIERRE]:[REPLANTEO '#2 "Formato de replanteo"]]))</f>
        <v>45765</v>
      </c>
      <c r="AC10" s="14" t="str">
        <f ca="1">IFERROR(IF(ACCIONES[[#This Row],[FECHA DE CIERRE]]&gt;TODAY(),1,""),"")</f>
        <v/>
      </c>
      <c r="AD10" s="14" t="str">
        <f ca="1">IFERROR(IF(ACCIONES[[#This Row],[REPLANTEO '#1]]&gt;TODAY(),1,""),"")</f>
        <v/>
      </c>
      <c r="AE10" s="14" t="str">
        <f ca="1">IFERROR(IF(ACCIONES[[#This Row],[REPLANTEO '#2 "Formato de replanteo"]]&gt;TODAY(),1,""),"")</f>
        <v/>
      </c>
      <c r="AF10" s="14" t="str">
        <f ca="1">IFERROR(IF(ACCIONES[[#This Row],[REPLANTEO '#3]]&gt;TODAY(),1,""),"")</f>
        <v/>
      </c>
      <c r="AG10" s="14" t="str">
        <f>IFERROR(IF(ACCIONES[[#This Row],[ESTATUS]]="CIERRE",1,""),"")</f>
        <v/>
      </c>
      <c r="AH10" s="14">
        <f>IFERROR(IF(ACCIONES[[#This Row],[ESTATUS]]="CERRADA",1,""),"")</f>
        <v>1</v>
      </c>
      <c r="AI10" s="14" t="str">
        <f>IF(ACCIONES[[#This Row],[ESTATUS]]="Abierta",COUNT(ACCIONES[[#This Row],[CÓDIGO 4 EN FECHA DE CIERRE ]:[CÓDIGO 9 ESTATUS CERRADA]]),"")</f>
        <v/>
      </c>
      <c r="AJ10" s="14" t="str" cm="1">
        <f t="array" aca="1" ref="AJ1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0" s="14" t="str" cm="1">
        <f t="array" aca="1" ref="AK1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0" s="14" t="str" cm="1">
        <f t="array" aca="1" ref="AL1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0" s="14" t="str" cm="1">
        <f t="array" aca="1" ref="AM1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0" s="14" t="b">
        <f ca="1">IFERROR(COUNTIF(ACCIONES[[#This Row],[CÓDIGO 11 POR VENCER FECHA CIERRE]:[CÓDIGO 14 FUERA DE REPLANTEO 3]],3)=1," ")</f>
        <v>0</v>
      </c>
      <c r="AO10" s="14" t="str">
        <f>IFERROR(VLOOKUP(ACCIONES[[#This Row],[DIRECCIÓN O GERENCIA]],AREAS[#All],3,0),"")</f>
        <v>mmontoya@oomapasc.gob.mx</v>
      </c>
    </row>
    <row r="11" spans="3:42" ht="40.5" hidden="1" customHeight="1">
      <c r="C11" s="71">
        <f>IF(ACCIONES[[#This Row],[FECHA DE APERTURA]]="","",YEAR(ACCIONES[[#This Row],[FECHA DE APERTURA]]))</f>
        <v>2024</v>
      </c>
      <c r="D11" s="71">
        <f t="shared" si="2"/>
        <v>10</v>
      </c>
      <c r="E11" s="71" t="s">
        <v>322</v>
      </c>
      <c r="F11" s="72">
        <f t="shared" si="1"/>
        <v>9</v>
      </c>
      <c r="G11" s="15" t="str">
        <f>IF(ACCIONES[[#This Row],[FECHA DE APERTURA]]="","",IF(ACCIONES[[#This Row],[Columna1]]="","AC#"&amp;ACCIONES[[#This Row],[foliox]]&amp;"\"&amp;YEAR(ACCIONES[[#This Row],[FECHA DE APERTURA]]),ACCIONES[[#This Row],[Columna1]]))</f>
        <v>AC#17\2024</v>
      </c>
      <c r="H11" s="17">
        <v>45554</v>
      </c>
      <c r="I11" s="18" t="s">
        <v>323</v>
      </c>
      <c r="J11" s="60">
        <v>46022</v>
      </c>
      <c r="K11" s="60"/>
      <c r="L11" s="60"/>
      <c r="M11" s="19"/>
      <c r="N11" s="58" t="s">
        <v>92</v>
      </c>
      <c r="O11" s="57" t="s">
        <v>218</v>
      </c>
      <c r="P11" s="21" t="s">
        <v>299</v>
      </c>
      <c r="Q11" s="18"/>
      <c r="R11" s="21" t="s">
        <v>176</v>
      </c>
      <c r="S11" s="59">
        <v>45877</v>
      </c>
      <c r="T11" s="59">
        <v>45880</v>
      </c>
      <c r="U11" s="72">
        <f>IF(ACCIONES[[#This Row],[Fecha Recibido]]="","",IF(NETWORKDAYS(ACCIONES[[#This Row],[Fecha entrega]],ACCIONES[[#This Row],[Fecha Recibido]])&lt;=5,1,0))</f>
        <v>1</v>
      </c>
      <c r="V11" s="72" t="str">
        <f>IF(ACCIONES[[#This Row],[Fecha entrega]]="","",TEXT(ACCIONES[[#This Row],[Fecha entrega]],"MMMM"))</f>
        <v>agosto</v>
      </c>
      <c r="W11" s="72">
        <f>IF(ACCIONES[[#This Row],[Fecha entrega]]="","",YEAR(ACCIONES[[#This Row],[Fecha entrega]]))</f>
        <v>2025</v>
      </c>
      <c r="X11" s="14" t="str">
        <f>IF(ACCIONES[[#This Row],[Fecha Recibido]]="","",TEXT(ACCIONES[[#This Row],[Fecha Recibido]],"mmmm"))</f>
        <v>agosto</v>
      </c>
      <c r="Y11" s="14">
        <f>IF(ACCIONES[[#This Row],[Fecha Recibido]]="","",YEAR(ACCIONES[[#This Row],[Fecha Recibido]]))</f>
        <v>2025</v>
      </c>
      <c r="Z11" s="14" t="str">
        <f>_xlfn.CONCAT(ACCIONES[[#This Row],[DIRECCIÓN O GERENCIA]],ACCIONES[[#This Row],[ORIGEN]])</f>
        <v>Suburbano TécnicoIndicador</v>
      </c>
      <c r="AA11" s="14" t="str">
        <f>_xlfn.CONCAT(ACCIONES[[#This Row],[DIRECCIÓN O GERENCIA]],ACCIONES[[#This Row],[ESTATUS]])</f>
        <v>Suburbano TécnicoCerrada</v>
      </c>
      <c r="AB11" s="168">
        <f>IF(ACCIONES[[#This Row],[ESTATUS]]="","",MAX(ACCIONES[[#This Row],[FECHA DE CIERRE]:[REPLANTEO '#2 "Formato de replanteo"]]))</f>
        <v>46022</v>
      </c>
      <c r="AC11" s="14" t="str">
        <f ca="1">IFERROR(IF(ACCIONES[[#This Row],[FECHA DE CIERRE]]&gt;TODAY(),1,""),"")</f>
        <v/>
      </c>
      <c r="AD11" s="14" t="str">
        <f ca="1">IFERROR(IF(ACCIONES[[#This Row],[REPLANTEO '#1]]&gt;TODAY(),1,""),"")</f>
        <v/>
      </c>
      <c r="AE11" s="14" t="str">
        <f ca="1">IFERROR(IF(ACCIONES[[#This Row],[REPLANTEO '#2 "Formato de replanteo"]]&gt;TODAY(),1,""),"")</f>
        <v/>
      </c>
      <c r="AF11" s="14" t="str">
        <f ca="1">IFERROR(IF(ACCIONES[[#This Row],[REPLANTEO '#3]]&gt;TODAY(),1,""),"")</f>
        <v/>
      </c>
      <c r="AG11" s="14" t="str">
        <f>IFERROR(IF(ACCIONES[[#This Row],[ESTATUS]]="CIERRE",1,""),"")</f>
        <v/>
      </c>
      <c r="AH11" s="14">
        <f>IFERROR(IF(ACCIONES[[#This Row],[ESTATUS]]="CERRADA",1,""),"")</f>
        <v>1</v>
      </c>
      <c r="AI11" s="14" t="str">
        <f>IF(ACCIONES[[#This Row],[ESTATUS]]="Abierta",COUNT(ACCIONES[[#This Row],[CÓDIGO 4 EN FECHA DE CIERRE ]:[CÓDIGO 9 ESTATUS CERRADA]]),"")</f>
        <v/>
      </c>
      <c r="AJ11" s="14" t="str" cm="1">
        <f t="array" aca="1" ref="AJ1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1" s="14" t="str" cm="1">
        <f t="array" aca="1" ref="AK1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1" s="14" t="str" cm="1">
        <f t="array" aca="1" ref="AL1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1" s="14" t="str" cm="1">
        <f t="array" aca="1" ref="AM1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1" s="14" t="b">
        <f ca="1">IFERROR(COUNTIF(ACCIONES[[#This Row],[CÓDIGO 11 POR VENCER FECHA CIERRE]:[CÓDIGO 14 FUERA DE REPLANTEO 3]],3)=1," ")</f>
        <v>0</v>
      </c>
      <c r="AO11" s="14" t="str">
        <f>IFERROR(VLOOKUP(ACCIONES[[#This Row],[DIRECCIÓN O GERENCIA]],AREAS[#All],3,0),"")</f>
        <v>mmendoza@oomapasc.gob.mx</v>
      </c>
    </row>
    <row r="12" spans="3:42" ht="40.5" hidden="1" customHeight="1">
      <c r="C12" s="71">
        <f>IF(ACCIONES[[#This Row],[FECHA DE APERTURA]]="","",YEAR(ACCIONES[[#This Row],[FECHA DE APERTURA]]))</f>
        <v>2024</v>
      </c>
      <c r="D12" s="71">
        <f t="shared" si="2"/>
        <v>11</v>
      </c>
      <c r="E12" s="71"/>
      <c r="F12" s="72">
        <f>IF(YEAR(H12)=YEAR(H11), F11+1, 1)</f>
        <v>10</v>
      </c>
      <c r="G12" s="15" t="str">
        <f>IF(ACCIONES[[#This Row],[FECHA DE APERTURA]]="","",IF(ACCIONES[[#This Row],[Columna1]]="","AC#"&amp;5&amp;"\"&amp;YEAR(ACCIONES[[#This Row],[FECHA DE APERTURA]]),ACCIONES[[#This Row],[Columna1]]))</f>
        <v>AC#5\2024</v>
      </c>
      <c r="H12" s="17">
        <v>45327</v>
      </c>
      <c r="I12" s="18" t="s">
        <v>324</v>
      </c>
      <c r="J12" s="60">
        <v>46052</v>
      </c>
      <c r="K12" s="60">
        <v>46073</v>
      </c>
      <c r="L12" s="60"/>
      <c r="M12" s="19"/>
      <c r="N12" s="58" t="s">
        <v>32</v>
      </c>
      <c r="O12" s="57" t="s">
        <v>218</v>
      </c>
      <c r="P12" s="21" t="s">
        <v>315</v>
      </c>
      <c r="Q12" s="18"/>
      <c r="R12" s="21"/>
      <c r="S12" s="59"/>
      <c r="T12" s="59"/>
      <c r="U12" s="72" t="str">
        <f>IF(ACCIONES[[#This Row],[Fecha Recibido]]="","",IF(NETWORKDAYS(ACCIONES[[#This Row],[Fecha entrega]],ACCIONES[[#This Row],[Fecha Recibido]])&lt;=5,1,0))</f>
        <v/>
      </c>
      <c r="V12" s="72" t="str">
        <f>IF(ACCIONES[[#This Row],[Fecha entrega]]="","",TEXT(ACCIONES[[#This Row],[Fecha entrega]],"MMMM"))</f>
        <v/>
      </c>
      <c r="W12" s="72" t="str">
        <f>IF(ACCIONES[[#This Row],[Fecha entrega]]="","",YEAR(ACCIONES[[#This Row],[Fecha entrega]]))</f>
        <v/>
      </c>
      <c r="X12" s="14" t="str">
        <f>IF(ACCIONES[[#This Row],[Fecha Recibido]]="","",TEXT(ACCIONES[[#This Row],[Fecha Recibido]],"mmmm"))</f>
        <v/>
      </c>
      <c r="Y12" s="14" t="str">
        <f>IF(ACCIONES[[#This Row],[Fecha Recibido]]="","",YEAR(ACCIONES[[#This Row],[Fecha Recibido]]))</f>
        <v/>
      </c>
      <c r="Z12" s="14" t="str">
        <f>_xlfn.CONCAT(ACCIONES[[#This Row],[DIRECCIÓN O GERENCIA]],ACCIONES[[#This Row],[ORIGEN]])</f>
        <v>Control de CalidadAuditoría</v>
      </c>
      <c r="AA12" s="14" t="str">
        <f>_xlfn.CONCAT(ACCIONES[[#This Row],[DIRECCIÓN O GERENCIA]],ACCIONES[[#This Row],[ESTATUS]])</f>
        <v>Control de CalidadCerrada</v>
      </c>
      <c r="AB12" s="168">
        <f>IF(ACCIONES[[#This Row],[ESTATUS]]="","",MAX(ACCIONES[[#This Row],[FECHA DE CIERRE]:[REPLANTEO '#2 "Formato de replanteo"]]))</f>
        <v>46073</v>
      </c>
      <c r="AC12" s="14" t="str">
        <f ca="1">IFERROR(IF(ACCIONES[[#This Row],[FECHA DE CIERRE]]&gt;TODAY(),1,""),"")</f>
        <v/>
      </c>
      <c r="AD12" s="14" t="str">
        <f ca="1">IFERROR(IF(ACCIONES[[#This Row],[REPLANTEO '#1]]&gt;TODAY(),1,""),"")</f>
        <v/>
      </c>
      <c r="AE12" s="14" t="str">
        <f ca="1">IFERROR(IF(ACCIONES[[#This Row],[REPLANTEO '#2 "Formato de replanteo"]]&gt;TODAY(),1,""),"")</f>
        <v/>
      </c>
      <c r="AF12" s="14" t="str">
        <f ca="1">IFERROR(IF(ACCIONES[[#This Row],[REPLANTEO '#3]]&gt;TODAY(),1,""),"")</f>
        <v/>
      </c>
      <c r="AG12" s="14" t="str">
        <f>IFERROR(IF(ACCIONES[[#This Row],[ESTATUS]]="CIERRE",1,""),"")</f>
        <v/>
      </c>
      <c r="AH12" s="14">
        <f>IFERROR(IF(ACCIONES[[#This Row],[ESTATUS]]="CERRADA",1,""),"")</f>
        <v>1</v>
      </c>
      <c r="AI12" s="14" t="str">
        <f>IF(ACCIONES[[#This Row],[ESTATUS]]="Abierta",COUNT(ACCIONES[[#This Row],[CÓDIGO 4 EN FECHA DE CIERRE ]:[CÓDIGO 9 ESTATUS CERRADA]]),"")</f>
        <v/>
      </c>
      <c r="AJ12" s="14" t="str" cm="1">
        <f t="array" aca="1" ref="AJ1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2" s="14" t="str" cm="1">
        <f t="array" aca="1" ref="AK1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2" s="14" t="str" cm="1">
        <f t="array" aca="1" ref="AL1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2" s="14" t="str" cm="1">
        <f t="array" aca="1" ref="AM1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2" s="14" t="b">
        <f ca="1">IFERROR(COUNTIF(ACCIONES[[#This Row],[CÓDIGO 11 POR VENCER FECHA CIERRE]:[CÓDIGO 14 FUERA DE REPLANTEO 3]],3)=1," ")</f>
        <v>0</v>
      </c>
      <c r="AO12" s="14" t="str">
        <f>IFERROR(VLOOKUP(ACCIONES[[#This Row],[DIRECCIÓN O GERENCIA]],AREAS[#All],3,0),"")</f>
        <v>lgasca@oomapasc.gob.mx</v>
      </c>
    </row>
    <row r="13" spans="3:42" ht="63" hidden="1">
      <c r="C13" s="71">
        <f>IF(ACCIONES[[#This Row],[FECHA DE APERTURA]]="","",YEAR(ACCIONES[[#This Row],[FECHA DE APERTURA]]))</f>
        <v>2024</v>
      </c>
      <c r="D13" s="71">
        <f t="shared" si="2"/>
        <v>12</v>
      </c>
      <c r="E13" s="71" t="s">
        <v>325</v>
      </c>
      <c r="F13" s="72">
        <f>IF(YEAR(H13)=YEAR(H11), F11+1, 1)</f>
        <v>10</v>
      </c>
      <c r="G13" s="15" t="str">
        <f>IF(ACCIONES[[#This Row],[FECHA DE APERTURA]]="","",IF(ACCIONES[[#This Row],[Columna1]]="","AC#"&amp;ACCIONES[[#This Row],[foliox]]&amp;"\"&amp;YEAR(ACCIONES[[#This Row],[FECHA DE APERTURA]]),ACCIONES[[#This Row],[Columna1]]))</f>
        <v>AC#20\2024</v>
      </c>
      <c r="H13" s="17">
        <v>45642</v>
      </c>
      <c r="I13" s="18" t="s">
        <v>326</v>
      </c>
      <c r="J13" s="62">
        <v>45807</v>
      </c>
      <c r="K13" s="62">
        <v>46020</v>
      </c>
      <c r="L13" s="62"/>
      <c r="M13" s="19"/>
      <c r="N13" s="58" t="s">
        <v>19</v>
      </c>
      <c r="O13" s="57" t="s">
        <v>218</v>
      </c>
      <c r="P13" s="21" t="s">
        <v>299</v>
      </c>
      <c r="Q13" s="18"/>
      <c r="R13" s="21"/>
      <c r="S13" s="59"/>
      <c r="T13" s="59"/>
      <c r="U13" s="72" t="str">
        <f>IF(ACCIONES[[#This Row],[Fecha Recibido]]="","",IF(NETWORKDAYS(ACCIONES[[#This Row],[Fecha entrega]],ACCIONES[[#This Row],[Fecha Recibido]])&lt;=5,1,0))</f>
        <v/>
      </c>
      <c r="V13" s="72" t="str">
        <f>IF(ACCIONES[[#This Row],[Fecha entrega]]="","",TEXT(ACCIONES[[#This Row],[Fecha entrega]],"MMMM"))</f>
        <v/>
      </c>
      <c r="W13" s="72" t="str">
        <f>IF(ACCIONES[[#This Row],[Fecha entrega]]="","",YEAR(ACCIONES[[#This Row],[Fecha entrega]]))</f>
        <v/>
      </c>
      <c r="X13" s="14" t="str">
        <f>IF(ACCIONES[[#This Row],[Fecha Recibido]]="","",TEXT(ACCIONES[[#This Row],[Fecha Recibido]],"mmmm"))</f>
        <v/>
      </c>
      <c r="Y13" s="14" t="str">
        <f>IF(ACCIONES[[#This Row],[Fecha Recibido]]="","",YEAR(ACCIONES[[#This Row],[Fecha Recibido]]))</f>
        <v/>
      </c>
      <c r="Z13" s="14" t="str">
        <f>_xlfn.CONCAT(ACCIONES[[#This Row],[DIRECCIÓN O GERENCIA]],ACCIONES[[#This Row],[ORIGEN]])</f>
        <v>Plantas PotabilizadorasIndicador</v>
      </c>
      <c r="AA13" s="14" t="str">
        <f>_xlfn.CONCAT(ACCIONES[[#This Row],[DIRECCIÓN O GERENCIA]],ACCIONES[[#This Row],[ESTATUS]])</f>
        <v>Plantas PotabilizadorasCerrada</v>
      </c>
      <c r="AB13" s="168">
        <f>IF(ACCIONES[[#This Row],[ESTATUS]]="","",MAX(ACCIONES[[#This Row],[FECHA DE CIERRE]:[REPLANTEO '#2 "Formato de replanteo"]]))</f>
        <v>46020</v>
      </c>
      <c r="AC13" s="14" t="str">
        <f ca="1">IFERROR(IF(ACCIONES[[#This Row],[FECHA DE CIERRE]]&gt;TODAY(),1,""),"")</f>
        <v/>
      </c>
      <c r="AD13" s="14" t="str">
        <f ca="1">IFERROR(IF(ACCIONES[[#This Row],[REPLANTEO '#1]]&gt;TODAY(),1,""),"")</f>
        <v/>
      </c>
      <c r="AE13" s="14" t="str">
        <f ca="1">IFERROR(IF(ACCIONES[[#This Row],[REPLANTEO '#2 "Formato de replanteo"]]&gt;TODAY(),1,""),"")</f>
        <v/>
      </c>
      <c r="AF13" s="14" t="str">
        <f ca="1">IFERROR(IF(ACCIONES[[#This Row],[REPLANTEO '#3]]&gt;TODAY(),1,""),"")</f>
        <v/>
      </c>
      <c r="AG13" s="14" t="str">
        <f>IFERROR(IF(ACCIONES[[#This Row],[ESTATUS]]="CIERRE",1,""),"")</f>
        <v/>
      </c>
      <c r="AH13" s="14">
        <f>IFERROR(IF(ACCIONES[[#This Row],[ESTATUS]]="CERRADA",1,""),"")</f>
        <v>1</v>
      </c>
      <c r="AI13" s="14" t="str">
        <f>IF(ACCIONES[[#This Row],[ESTATUS]]="Abierta",COUNT(ACCIONES[[#This Row],[CÓDIGO 4 EN FECHA DE CIERRE ]:[CÓDIGO 9 ESTATUS CERRADA]]),"")</f>
        <v/>
      </c>
      <c r="AJ13" s="14" t="str" cm="1">
        <f t="array" aca="1" ref="AJ1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3" s="14" t="str" cm="1">
        <f t="array" aca="1" ref="AK1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3" s="14" t="str" cm="1">
        <f t="array" aca="1" ref="AL1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3" s="14" t="str" cm="1">
        <f t="array" aca="1" ref="AM1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3" s="14" t="b">
        <f ca="1">IFERROR(COUNTIF(ACCIONES[[#This Row],[CÓDIGO 11 POR VENCER FECHA CIERRE]:[CÓDIGO 14 FUERA DE REPLANTEO 3]],3)=1," ")</f>
        <v>0</v>
      </c>
      <c r="AO13" s="14" t="str">
        <f>IFERROR(VLOOKUP(ACCIONES[[#This Row],[DIRECCIÓN O GERENCIA]],AREAS[#All],3,0),"")</f>
        <v>jaenriquez@oomapasc.gob.mx, agalvez@oomapasc.gob.mx</v>
      </c>
    </row>
    <row r="14" spans="3:42" ht="12">
      <c r="C14" s="71" t="str">
        <f>IF(ACCIONES[[#This Row],[FECHA DE APERTURA]]="","",YEAR(ACCIONES[[#This Row],[FECHA DE APERTURA]]))</f>
        <v/>
      </c>
      <c r="D14" s="71">
        <f t="shared" si="2"/>
        <v>13</v>
      </c>
      <c r="E14" s="71"/>
      <c r="F14" s="72">
        <f t="shared" si="1"/>
        <v>1</v>
      </c>
      <c r="G14" s="15" t="str">
        <f>IF(ACCIONES[[#This Row],[FECHA DE APERTURA]]="","",IF(ACCIONES[[#This Row],[Columna1]]="","AC#"&amp;ACCIONES[[#This Row],[foliox]]&amp;"\"&amp;YEAR(ACCIONES[[#This Row],[FECHA DE APERTURA]]),ACCIONES[[#This Row],[Columna1]]))</f>
        <v/>
      </c>
      <c r="H14" s="17"/>
      <c r="I14" s="117">
        <v>2025</v>
      </c>
      <c r="J14" s="62"/>
      <c r="K14" s="62"/>
      <c r="L14" s="62"/>
      <c r="M14" s="19"/>
      <c r="N14" s="58"/>
      <c r="O14" s="57"/>
      <c r="P14" s="21"/>
      <c r="Q14" s="18"/>
      <c r="R14" s="21"/>
      <c r="S14" s="59"/>
      <c r="T14" s="59"/>
      <c r="U14" s="72" t="str">
        <f>IF(ACCIONES[[#This Row],[Fecha Recibido]]="","",IF(NETWORKDAYS(ACCIONES[[#This Row],[Fecha entrega]],ACCIONES[[#This Row],[Fecha Recibido]])&lt;=5,1,0))</f>
        <v/>
      </c>
      <c r="V14" s="72" t="str">
        <f>IF(ACCIONES[[#This Row],[Fecha entrega]]="","",TEXT(ACCIONES[[#This Row],[Fecha entrega]],"MMMM"))</f>
        <v/>
      </c>
      <c r="W14" s="72" t="str">
        <f>IF(ACCIONES[[#This Row],[Fecha entrega]]="","",YEAR(ACCIONES[[#This Row],[Fecha entrega]]))</f>
        <v/>
      </c>
      <c r="X14" s="14" t="str">
        <f>IF(ACCIONES[[#This Row],[Fecha Recibido]]="","",TEXT(ACCIONES[[#This Row],[Fecha Recibido]],"mmmm"))</f>
        <v/>
      </c>
      <c r="Y14" s="14" t="str">
        <f>IF(ACCIONES[[#This Row],[Fecha Recibido]]="","",YEAR(ACCIONES[[#This Row],[Fecha Recibido]]))</f>
        <v/>
      </c>
      <c r="Z14" s="14" t="str">
        <f>_xlfn.CONCAT(ACCIONES[[#This Row],[DIRECCIÓN O GERENCIA]],ACCIONES[[#This Row],[ORIGEN]])</f>
        <v/>
      </c>
      <c r="AA14" s="14" t="str">
        <f>_xlfn.CONCAT(ACCIONES[[#This Row],[DIRECCIÓN O GERENCIA]],ACCIONES[[#This Row],[ESTATUS]])</f>
        <v/>
      </c>
      <c r="AB14" s="168" t="str">
        <f>IF(ACCIONES[[#This Row],[ESTATUS]]="","",MAX(ACCIONES[[#This Row],[FECHA DE CIERRE]:[REPLANTEO '#2 "Formato de replanteo"]]))</f>
        <v/>
      </c>
      <c r="AC14" s="14" t="str">
        <f ca="1">IFERROR(IF(ACCIONES[[#This Row],[FECHA DE CIERRE]]&gt;TODAY(),1,""),"")</f>
        <v/>
      </c>
      <c r="AD14" s="14" t="str">
        <f ca="1">IFERROR(IF(ACCIONES[[#This Row],[REPLANTEO '#1]]&gt;TODAY(),1,""),"")</f>
        <v/>
      </c>
      <c r="AE14" s="14" t="str">
        <f ca="1">IFERROR(IF(ACCIONES[[#This Row],[REPLANTEO '#2 "Formato de replanteo"]]&gt;TODAY(),1,""),"")</f>
        <v/>
      </c>
      <c r="AF14" s="14" t="str">
        <f ca="1">IFERROR(IF(ACCIONES[[#This Row],[REPLANTEO '#3]]&gt;TODAY(),1,""),"")</f>
        <v/>
      </c>
      <c r="AG14" s="14" t="str">
        <f>IFERROR(IF(ACCIONES[[#This Row],[ESTATUS]]="CIERRE",1,""),"")</f>
        <v/>
      </c>
      <c r="AH14" s="14" t="str">
        <f>IFERROR(IF(ACCIONES[[#This Row],[ESTATUS]]="CERRADA",1,""),"")</f>
        <v/>
      </c>
      <c r="AI14" s="14" t="str">
        <f>IF(ACCIONES[[#This Row],[ESTATUS]]="Abierta",COUNT(ACCIONES[[#This Row],[CÓDIGO 4 EN FECHA DE CIERRE ]:[CÓDIGO 9 ESTATUS CERRADA]]),"")</f>
        <v/>
      </c>
      <c r="AJ14" s="14" t="str" cm="1">
        <f t="array" aca="1" ref="AJ1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4" s="14" t="str" cm="1">
        <f t="array" aca="1" ref="AK1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4" s="14" t="str" cm="1">
        <f t="array" aca="1" ref="AL1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4" s="14" t="str" cm="1">
        <f t="array" aca="1" ref="AM1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4" s="14" t="b">
        <f ca="1">IFERROR(COUNTIF(ACCIONES[[#This Row],[CÓDIGO 11 POR VENCER FECHA CIERRE]:[CÓDIGO 14 FUERA DE REPLANTEO 3]],3)=1," ")</f>
        <v>0</v>
      </c>
      <c r="AO14" s="14" t="str">
        <f>IFERROR(VLOOKUP(ACCIONES[[#This Row],[DIRECCIÓN O GERENCIA]],AREAS[#All],3,0),"")</f>
        <v/>
      </c>
    </row>
    <row r="15" spans="3:42" ht="31.5" hidden="1">
      <c r="C15" s="71">
        <f>IF(ACCIONES[[#This Row],[FECHA DE APERTURA]]="","",YEAR(ACCIONES[[#This Row],[FECHA DE APERTURA]]))</f>
        <v>2025</v>
      </c>
      <c r="D15" s="71">
        <f t="shared" si="2"/>
        <v>14</v>
      </c>
      <c r="E15" s="71"/>
      <c r="F15" s="72">
        <f t="shared" si="1"/>
        <v>1</v>
      </c>
      <c r="G15" s="15" t="str">
        <f>IF(ACCIONES[[#This Row],[FECHA DE APERTURA]]="","",IF(ACCIONES[[#This Row],[Columna1]]="","AC#"&amp;ACCIONES[[#This Row],[foliox]]&amp;"\"&amp;YEAR(ACCIONES[[#This Row],[FECHA DE APERTURA]]),ACCIONES[[#This Row],[Columna1]]))</f>
        <v>AC#1\2025</v>
      </c>
      <c r="H15" s="17">
        <v>45672</v>
      </c>
      <c r="I15" s="18" t="s">
        <v>327</v>
      </c>
      <c r="J15" s="60">
        <v>45989</v>
      </c>
      <c r="K15" s="60">
        <v>46020</v>
      </c>
      <c r="L15" s="60"/>
      <c r="M15" s="19"/>
      <c r="N15" s="58" t="s">
        <v>81</v>
      </c>
      <c r="O15" s="57" t="s">
        <v>218</v>
      </c>
      <c r="P15" s="21" t="s">
        <v>299</v>
      </c>
      <c r="Q15" s="18"/>
      <c r="R15" s="21"/>
      <c r="S15" s="59"/>
      <c r="T15" s="59"/>
      <c r="U15" s="72" t="str">
        <f>IF(ACCIONES[[#This Row],[Fecha Recibido]]="","",IF(NETWORKDAYS(ACCIONES[[#This Row],[Fecha entrega]],ACCIONES[[#This Row],[Fecha Recibido]])&lt;=5,1,0))</f>
        <v/>
      </c>
      <c r="V15" s="72" t="str">
        <f>IF(ACCIONES[[#This Row],[Fecha entrega]]="","",TEXT(ACCIONES[[#This Row],[Fecha entrega]],"MMMM"))</f>
        <v/>
      </c>
      <c r="W15" s="72" t="str">
        <f>IF(ACCIONES[[#This Row],[Fecha entrega]]="","",YEAR(ACCIONES[[#This Row],[Fecha entrega]]))</f>
        <v/>
      </c>
      <c r="X15" s="14" t="str">
        <f>IF(ACCIONES[[#This Row],[Fecha Recibido]]="","",TEXT(ACCIONES[[#This Row],[Fecha Recibido]],"mmmm"))</f>
        <v/>
      </c>
      <c r="Y15" s="14" t="str">
        <f>IF(ACCIONES[[#This Row],[Fecha Recibido]]="","",YEAR(ACCIONES[[#This Row],[Fecha Recibido]]))</f>
        <v/>
      </c>
      <c r="Z15" s="14" t="str">
        <f>_xlfn.CONCAT(ACCIONES[[#This Row],[DIRECCIÓN O GERENCIA]],ACCIONES[[#This Row],[ORIGEN]])</f>
        <v>Agencia Pueblo YaquiIndicador</v>
      </c>
      <c r="AA15" s="14" t="str">
        <f>_xlfn.CONCAT(ACCIONES[[#This Row],[DIRECCIÓN O GERENCIA]],ACCIONES[[#This Row],[ESTATUS]])</f>
        <v>Agencia Pueblo YaquiCerrada</v>
      </c>
      <c r="AB15" s="168">
        <f>IF(ACCIONES[[#This Row],[ESTATUS]]="","",MAX(ACCIONES[[#This Row],[FECHA DE CIERRE]:[REPLANTEO '#2 "Formato de replanteo"]]))</f>
        <v>46020</v>
      </c>
      <c r="AC15" s="14" t="str">
        <f ca="1">IFERROR(IF(ACCIONES[[#This Row],[FECHA DE CIERRE]]&gt;TODAY(),1,""),"")</f>
        <v/>
      </c>
      <c r="AD15" s="14" t="str">
        <f ca="1">IFERROR(IF(ACCIONES[[#This Row],[REPLANTEO '#1]]&gt;TODAY(),1,""),"")</f>
        <v/>
      </c>
      <c r="AE15" s="14" t="str">
        <f ca="1">IFERROR(IF(ACCIONES[[#This Row],[REPLANTEO '#2 "Formato de replanteo"]]&gt;TODAY(),1,""),"")</f>
        <v/>
      </c>
      <c r="AF15" s="14" t="str">
        <f ca="1">IFERROR(IF(ACCIONES[[#This Row],[REPLANTEO '#3]]&gt;TODAY(),1,""),"")</f>
        <v/>
      </c>
      <c r="AG15" s="14" t="str">
        <f>IFERROR(IF(ACCIONES[[#This Row],[ESTATUS]]="CIERRE",1,""),"")</f>
        <v/>
      </c>
      <c r="AH15" s="14">
        <f>IFERROR(IF(ACCIONES[[#This Row],[ESTATUS]]="CERRADA",1,""),"")</f>
        <v>1</v>
      </c>
      <c r="AI15" s="14" t="str">
        <f>IF(ACCIONES[[#This Row],[ESTATUS]]="Abierta",COUNT(ACCIONES[[#This Row],[CÓDIGO 4 EN FECHA DE CIERRE ]:[CÓDIGO 9 ESTATUS CERRADA]]),"")</f>
        <v/>
      </c>
      <c r="AJ15" s="14" t="str" cm="1">
        <f t="array" aca="1" ref="AJ1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5" s="14" t="str" cm="1">
        <f t="array" aca="1" ref="AK1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5" s="14" t="str" cm="1">
        <f t="array" aca="1" ref="AL1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5" s="14" t="str" cm="1">
        <f t="array" aca="1" ref="AM1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5" s="14" t="b">
        <f ca="1">IFERROR(COUNTIF(ACCIONES[[#This Row],[CÓDIGO 11 POR VENCER FECHA CIERRE]:[CÓDIGO 14 FUERA DE REPLANTEO 3]],3)=1," ")</f>
        <v>0</v>
      </c>
      <c r="AO15" s="14" t="str">
        <f>IFERROR(VLOOKUP(ACCIONES[[#This Row],[DIRECCIÓN O GERENCIA]],AREAS[#All],3,0),"")</f>
        <v>restrada@oomapasc.gob.mx</v>
      </c>
    </row>
    <row r="16" spans="3:42" ht="31.5" hidden="1">
      <c r="C16" s="71">
        <f>IF(ACCIONES[[#This Row],[FECHA DE APERTURA]]="","",YEAR(ACCIONES[[#This Row],[FECHA DE APERTURA]]))</f>
        <v>2025</v>
      </c>
      <c r="D16" s="71">
        <f t="shared" si="2"/>
        <v>15</v>
      </c>
      <c r="E16" s="71"/>
      <c r="F16" s="72">
        <f t="shared" si="1"/>
        <v>2</v>
      </c>
      <c r="G16" s="15" t="str">
        <f>IF(ACCIONES[[#This Row],[FECHA DE APERTURA]]="","",IF(ACCIONES[[#This Row],[Columna1]]="","AC#"&amp;ACCIONES[[#This Row],[foliox]]&amp;"\"&amp;YEAR(ACCIONES[[#This Row],[FECHA DE APERTURA]]),ACCIONES[[#This Row],[Columna1]]))</f>
        <v>AC#2\2025</v>
      </c>
      <c r="H16" s="17">
        <v>45673</v>
      </c>
      <c r="I16" s="18" t="s">
        <v>328</v>
      </c>
      <c r="J16" s="60">
        <v>45993</v>
      </c>
      <c r="K16" s="60">
        <v>46021</v>
      </c>
      <c r="L16" s="60"/>
      <c r="M16" s="19"/>
      <c r="N16" s="58" t="s">
        <v>84</v>
      </c>
      <c r="O16" s="57" t="s">
        <v>218</v>
      </c>
      <c r="P16" s="21" t="s">
        <v>299</v>
      </c>
      <c r="Q16" s="18"/>
      <c r="R16" s="21"/>
      <c r="S16" s="59"/>
      <c r="T16" s="59"/>
      <c r="U16" s="72" t="str">
        <f>IF(ACCIONES[[#This Row],[Fecha Recibido]]="","",IF(NETWORKDAYS(ACCIONES[[#This Row],[Fecha entrega]],ACCIONES[[#This Row],[Fecha Recibido]])&lt;=5,1,0))</f>
        <v/>
      </c>
      <c r="V16" s="72" t="str">
        <f>IF(ACCIONES[[#This Row],[Fecha entrega]]="","",TEXT(ACCIONES[[#This Row],[Fecha entrega]],"MMMM"))</f>
        <v/>
      </c>
      <c r="W16" s="72" t="str">
        <f>IF(ACCIONES[[#This Row],[Fecha entrega]]="","",YEAR(ACCIONES[[#This Row],[Fecha entrega]]))</f>
        <v/>
      </c>
      <c r="X16" s="14" t="str">
        <f>IF(ACCIONES[[#This Row],[Fecha Recibido]]="","",TEXT(ACCIONES[[#This Row],[Fecha Recibido]],"mmmm"))</f>
        <v/>
      </c>
      <c r="Y16" s="14" t="str">
        <f>IF(ACCIONES[[#This Row],[Fecha Recibido]]="","",YEAR(ACCIONES[[#This Row],[Fecha Recibido]]))</f>
        <v/>
      </c>
      <c r="Z16" s="14" t="str">
        <f>_xlfn.CONCAT(ACCIONES[[#This Row],[DIRECCIÓN O GERENCIA]],ACCIONES[[#This Row],[ORIGEN]])</f>
        <v>Agencia EsperanzaIndicador</v>
      </c>
      <c r="AA16" s="14" t="str">
        <f>_xlfn.CONCAT(ACCIONES[[#This Row],[DIRECCIÓN O GERENCIA]],ACCIONES[[#This Row],[ESTATUS]])</f>
        <v>Agencia EsperanzaCerrada</v>
      </c>
      <c r="AB16" s="168">
        <f>IF(ACCIONES[[#This Row],[ESTATUS]]="","",MAX(ACCIONES[[#This Row],[FECHA DE CIERRE]:[REPLANTEO '#2 "Formato de replanteo"]]))</f>
        <v>46021</v>
      </c>
      <c r="AC16" s="14" t="str">
        <f ca="1">IFERROR(IF(ACCIONES[[#This Row],[FECHA DE CIERRE]]&gt;TODAY(),1,""),"")</f>
        <v/>
      </c>
      <c r="AD16" s="14" t="str">
        <f ca="1">IFERROR(IF(ACCIONES[[#This Row],[REPLANTEO '#1]]&gt;TODAY(),1,""),"")</f>
        <v/>
      </c>
      <c r="AE16" s="14" t="str">
        <f ca="1">IFERROR(IF(ACCIONES[[#This Row],[REPLANTEO '#2 "Formato de replanteo"]]&gt;TODAY(),1,""),"")</f>
        <v/>
      </c>
      <c r="AF16" s="14" t="str">
        <f ca="1">IFERROR(IF(ACCIONES[[#This Row],[REPLANTEO '#3]]&gt;TODAY(),1,""),"")</f>
        <v/>
      </c>
      <c r="AG16" s="14" t="str">
        <f>IFERROR(IF(ACCIONES[[#This Row],[ESTATUS]]="CIERRE",1,""),"")</f>
        <v/>
      </c>
      <c r="AH16" s="14">
        <f>IFERROR(IF(ACCIONES[[#This Row],[ESTATUS]]="CERRADA",1,""),"")</f>
        <v>1</v>
      </c>
      <c r="AI16" s="14" t="str">
        <f>IF(ACCIONES[[#This Row],[ESTATUS]]="Abierta",COUNT(ACCIONES[[#This Row],[CÓDIGO 4 EN FECHA DE CIERRE ]:[CÓDIGO 9 ESTATUS CERRADA]]),"")</f>
        <v/>
      </c>
      <c r="AJ16" s="14" t="str" cm="1">
        <f t="array" aca="1" ref="AJ16"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6" s="14" t="str" cm="1">
        <f t="array" aca="1" ref="AK16"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6" s="14" t="str" cm="1">
        <f t="array" aca="1" ref="AL16"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6" s="14" t="str" cm="1">
        <f t="array" aca="1" ref="AM16"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6" s="14" t="b">
        <f ca="1">IFERROR(COUNTIF(ACCIONES[[#This Row],[CÓDIGO 11 POR VENCER FECHA CIERRE]:[CÓDIGO 14 FUERA DE REPLANTEO 3]],3)=1," ")</f>
        <v>0</v>
      </c>
      <c r="AO16" s="14">
        <f>IFERROR(VLOOKUP(ACCIONES[[#This Row],[DIRECCIÓN O GERENCIA]],AREAS[#All],3,0),"")</f>
        <v>0</v>
      </c>
    </row>
    <row r="17" spans="3:41" ht="42" hidden="1">
      <c r="C17" s="71">
        <f>IF(ACCIONES[[#This Row],[FECHA DE APERTURA]]="","",YEAR(ACCIONES[[#This Row],[FECHA DE APERTURA]]))</f>
        <v>2025</v>
      </c>
      <c r="D17" s="71">
        <f t="shared" si="2"/>
        <v>16</v>
      </c>
      <c r="E17" s="71"/>
      <c r="F17" s="72">
        <f t="shared" si="1"/>
        <v>3</v>
      </c>
      <c r="G17" s="15" t="str">
        <f>IF(ACCIONES[[#This Row],[FECHA DE APERTURA]]="","",IF(ACCIONES[[#This Row],[Columna1]]="","AC#"&amp;ACCIONES[[#This Row],[foliox]]&amp;"\"&amp;YEAR(ACCIONES[[#This Row],[FECHA DE APERTURA]]),ACCIONES[[#This Row],[Columna1]]))</f>
        <v>AC#3\2025</v>
      </c>
      <c r="H17" s="17">
        <v>45672</v>
      </c>
      <c r="I17" s="18" t="s">
        <v>329</v>
      </c>
      <c r="J17" s="60">
        <v>45989</v>
      </c>
      <c r="K17" s="60">
        <v>46006</v>
      </c>
      <c r="L17" s="60"/>
      <c r="M17" s="19"/>
      <c r="N17" s="58" t="s">
        <v>86</v>
      </c>
      <c r="O17" s="57" t="s">
        <v>218</v>
      </c>
      <c r="P17" s="21" t="s">
        <v>299</v>
      </c>
      <c r="Q17" s="18"/>
      <c r="R17" s="21"/>
      <c r="S17" s="59"/>
      <c r="T17" s="59"/>
      <c r="U17" s="72" t="str">
        <f>IF(ACCIONES[[#This Row],[Fecha Recibido]]="","",IF(NETWORKDAYS(ACCIONES[[#This Row],[Fecha entrega]],ACCIONES[[#This Row],[Fecha Recibido]])&lt;=5,1,0))</f>
        <v/>
      </c>
      <c r="V17" s="72" t="str">
        <f>IF(ACCIONES[[#This Row],[Fecha entrega]]="","",TEXT(ACCIONES[[#This Row],[Fecha entrega]],"MMMM"))</f>
        <v/>
      </c>
      <c r="W17" s="72" t="str">
        <f>IF(ACCIONES[[#This Row],[Fecha entrega]]="","",YEAR(ACCIONES[[#This Row],[Fecha entrega]]))</f>
        <v/>
      </c>
      <c r="X17" s="14" t="str">
        <f>IF(ACCIONES[[#This Row],[Fecha Recibido]]="","",TEXT(ACCIONES[[#This Row],[Fecha Recibido]],"mmmm"))</f>
        <v/>
      </c>
      <c r="Y17" s="14" t="str">
        <f>IF(ACCIONES[[#This Row],[Fecha Recibido]]="","",YEAR(ACCIONES[[#This Row],[Fecha Recibido]]))</f>
        <v/>
      </c>
      <c r="Z17" s="14" t="str">
        <f>_xlfn.CONCAT(ACCIONES[[#This Row],[DIRECCIÓN O GERENCIA]],ACCIONES[[#This Row],[ORIGEN]])</f>
        <v>Agencia Marte R. GómezIndicador</v>
      </c>
      <c r="AA17" s="14" t="str">
        <f>_xlfn.CONCAT(ACCIONES[[#This Row],[DIRECCIÓN O GERENCIA]],ACCIONES[[#This Row],[ESTATUS]])</f>
        <v>Agencia Marte R. GómezCerrada</v>
      </c>
      <c r="AB17" s="168">
        <f>IF(ACCIONES[[#This Row],[ESTATUS]]="","",MAX(ACCIONES[[#This Row],[FECHA DE CIERRE]:[REPLANTEO '#2 "Formato de replanteo"]]))</f>
        <v>46006</v>
      </c>
      <c r="AC17" s="14" t="str">
        <f ca="1">IFERROR(IF(ACCIONES[[#This Row],[FECHA DE CIERRE]]&gt;TODAY(),1,""),"")</f>
        <v/>
      </c>
      <c r="AD17" s="14" t="str">
        <f ca="1">IFERROR(IF(ACCIONES[[#This Row],[REPLANTEO '#1]]&gt;TODAY(),1,""),"")</f>
        <v/>
      </c>
      <c r="AE17" s="14" t="str">
        <f ca="1">IFERROR(IF(ACCIONES[[#This Row],[REPLANTEO '#2 "Formato de replanteo"]]&gt;TODAY(),1,""),"")</f>
        <v/>
      </c>
      <c r="AF17" s="14" t="str">
        <f ca="1">IFERROR(IF(ACCIONES[[#This Row],[REPLANTEO '#3]]&gt;TODAY(),1,""),"")</f>
        <v/>
      </c>
      <c r="AG17" s="14" t="str">
        <f>IFERROR(IF(ACCIONES[[#This Row],[ESTATUS]]="CIERRE",1,""),"")</f>
        <v/>
      </c>
      <c r="AH17" s="14">
        <f>IFERROR(IF(ACCIONES[[#This Row],[ESTATUS]]="CERRADA",1,""),"")</f>
        <v>1</v>
      </c>
      <c r="AI17" s="14" t="str">
        <f>IF(ACCIONES[[#This Row],[ESTATUS]]="Abierta",COUNT(ACCIONES[[#This Row],[CÓDIGO 4 EN FECHA DE CIERRE ]:[CÓDIGO 9 ESTATUS CERRADA]]),"")</f>
        <v/>
      </c>
      <c r="AJ17" s="14" t="str" cm="1">
        <f t="array" aca="1" ref="AJ1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7" s="14" t="str" cm="1">
        <f t="array" aca="1" ref="AK1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7" s="14" t="str" cm="1">
        <f t="array" aca="1" ref="AL1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7" s="14" t="str" cm="1">
        <f t="array" aca="1" ref="AM1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7" s="14" t="b">
        <f ca="1">IFERROR(COUNTIF(ACCIONES[[#This Row],[CÓDIGO 11 POR VENCER FECHA CIERRE]:[CÓDIGO 14 FUERA DE REPLANTEO 3]],3)=1," ")</f>
        <v>0</v>
      </c>
      <c r="AO17" s="14" t="str">
        <f>IFERROR(VLOOKUP(ACCIONES[[#This Row],[DIRECCIÓN O GERENCIA]],AREAS[#All],3,0),"")</f>
        <v>lalcaraz@oomapasc.gob.mx</v>
      </c>
    </row>
    <row r="18" spans="3:41" ht="31.5" hidden="1">
      <c r="C18" s="71">
        <f>IF(ACCIONES[[#This Row],[FECHA DE APERTURA]]="","",YEAR(ACCIONES[[#This Row],[FECHA DE APERTURA]]))</f>
        <v>2025</v>
      </c>
      <c r="D18" s="71">
        <f t="shared" si="2"/>
        <v>17</v>
      </c>
      <c r="E18" s="71"/>
      <c r="F18" s="72">
        <f t="shared" si="1"/>
        <v>4</v>
      </c>
      <c r="G18" s="15" t="str">
        <f>IF(ACCIONES[[#This Row],[FECHA DE APERTURA]]="","",IF(ACCIONES[[#This Row],[Columna1]]="","AC#"&amp;ACCIONES[[#This Row],[foliox]]&amp;"\"&amp;YEAR(ACCIONES[[#This Row],[FECHA DE APERTURA]]),ACCIONES[[#This Row],[Columna1]]))</f>
        <v>AC#4\2025</v>
      </c>
      <c r="H18" s="17">
        <v>45674</v>
      </c>
      <c r="I18" s="18" t="s">
        <v>330</v>
      </c>
      <c r="J18" s="60">
        <v>45989</v>
      </c>
      <c r="K18" s="60">
        <v>46021</v>
      </c>
      <c r="L18" s="60"/>
      <c r="M18" s="19"/>
      <c r="N18" s="58" t="s">
        <v>89</v>
      </c>
      <c r="O18" s="57" t="s">
        <v>218</v>
      </c>
      <c r="P18" s="21" t="s">
        <v>299</v>
      </c>
      <c r="Q18" s="18"/>
      <c r="R18" s="21"/>
      <c r="S18" s="59"/>
      <c r="T18" s="59"/>
      <c r="U18" s="72" t="str">
        <f>IF(ACCIONES[[#This Row],[Fecha Recibido]]="","",IF(NETWORKDAYS(ACCIONES[[#This Row],[Fecha entrega]],ACCIONES[[#This Row],[Fecha Recibido]])&lt;=5,1,0))</f>
        <v/>
      </c>
      <c r="V18" s="72" t="str">
        <f>IF(ACCIONES[[#This Row],[Fecha entrega]]="","",TEXT(ACCIONES[[#This Row],[Fecha entrega]],"MMMM"))</f>
        <v/>
      </c>
      <c r="W18" s="72" t="str">
        <f>IF(ACCIONES[[#This Row],[Fecha entrega]]="","",YEAR(ACCIONES[[#This Row],[Fecha entrega]]))</f>
        <v/>
      </c>
      <c r="X18" s="14" t="str">
        <f>IF(ACCIONES[[#This Row],[Fecha Recibido]]="","",TEXT(ACCIONES[[#This Row],[Fecha Recibido]],"mmmm"))</f>
        <v/>
      </c>
      <c r="Y18" s="14" t="str">
        <f>IF(ACCIONES[[#This Row],[Fecha Recibido]]="","",YEAR(ACCIONES[[#This Row],[Fecha Recibido]]))</f>
        <v/>
      </c>
      <c r="Z18" s="14" t="str">
        <f>_xlfn.CONCAT(ACCIONES[[#This Row],[DIRECCIÓN O GERENCIA]],ACCIONES[[#This Row],[ORIGEN]])</f>
        <v>Agencia ProvidenciaIndicador</v>
      </c>
      <c r="AA18" s="14" t="str">
        <f>_xlfn.CONCAT(ACCIONES[[#This Row],[DIRECCIÓN O GERENCIA]],ACCIONES[[#This Row],[ESTATUS]])</f>
        <v>Agencia ProvidenciaCerrada</v>
      </c>
      <c r="AB18" s="168">
        <f>IF(ACCIONES[[#This Row],[ESTATUS]]="","",MAX(ACCIONES[[#This Row],[FECHA DE CIERRE]:[REPLANTEO '#2 "Formato de replanteo"]]))</f>
        <v>46021</v>
      </c>
      <c r="AC18" s="14" t="str">
        <f ca="1">IFERROR(IF(ACCIONES[[#This Row],[FECHA DE CIERRE]]&gt;TODAY(),1,""),"")</f>
        <v/>
      </c>
      <c r="AD18" s="14" t="str">
        <f ca="1">IFERROR(IF(ACCIONES[[#This Row],[REPLANTEO '#1]]&gt;TODAY(),1,""),"")</f>
        <v/>
      </c>
      <c r="AE18" s="14" t="str">
        <f ca="1">IFERROR(IF(ACCIONES[[#This Row],[REPLANTEO '#2 "Formato de replanteo"]]&gt;TODAY(),1,""),"")</f>
        <v/>
      </c>
      <c r="AF18" s="14" t="str">
        <f ca="1">IFERROR(IF(ACCIONES[[#This Row],[REPLANTEO '#3]]&gt;TODAY(),1,""),"")</f>
        <v/>
      </c>
      <c r="AG18" s="14" t="str">
        <f>IFERROR(IF(ACCIONES[[#This Row],[ESTATUS]]="CIERRE",1,""),"")</f>
        <v/>
      </c>
      <c r="AH18" s="14">
        <f>IFERROR(IF(ACCIONES[[#This Row],[ESTATUS]]="CERRADA",1,""),"")</f>
        <v>1</v>
      </c>
      <c r="AI18" s="14" t="str">
        <f>IF(ACCIONES[[#This Row],[ESTATUS]]="Abierta",COUNT(ACCIONES[[#This Row],[CÓDIGO 4 EN FECHA DE CIERRE ]:[CÓDIGO 9 ESTATUS CERRADA]]),"")</f>
        <v/>
      </c>
      <c r="AJ18" s="14" t="str" cm="1">
        <f t="array" aca="1" ref="AJ1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8" s="14" t="str" cm="1">
        <f t="array" aca="1" ref="AK1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8" s="14" t="str" cm="1">
        <f t="array" aca="1" ref="AL1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8" s="14" t="str" cm="1">
        <f t="array" aca="1" ref="AM1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8" s="14" t="b">
        <f ca="1">IFERROR(COUNTIF(ACCIONES[[#This Row],[CÓDIGO 11 POR VENCER FECHA CIERRE]:[CÓDIGO 14 FUERA DE REPLANTEO 3]],3)=1," ")</f>
        <v>0</v>
      </c>
      <c r="AO18" s="14" t="str">
        <f>IFERROR(VLOOKUP(ACCIONES[[#This Row],[DIRECCIÓN O GERENCIA]],AREAS[#All],3,0),"")</f>
        <v>jduarte@oomapasc.gob.mx</v>
      </c>
    </row>
    <row r="19" spans="3:41" ht="42.75" hidden="1" customHeight="1">
      <c r="C19" s="71">
        <f>IF(ACCIONES[[#This Row],[FECHA DE APERTURA]]="","",YEAR(ACCIONES[[#This Row],[FECHA DE APERTURA]]))</f>
        <v>2025</v>
      </c>
      <c r="D19" s="71">
        <f t="shared" si="2"/>
        <v>18</v>
      </c>
      <c r="E19" s="71"/>
      <c r="F19" s="72">
        <f t="shared" si="1"/>
        <v>5</v>
      </c>
      <c r="G19" s="15" t="str">
        <f>IF(ACCIONES[[#This Row],[FECHA DE APERTURA]]="","",IF(ACCIONES[[#This Row],[Columna1]]="","AC#"&amp;ACCIONES[[#This Row],[foliox]]&amp;"\"&amp;YEAR(ACCIONES[[#This Row],[FECHA DE APERTURA]]),ACCIONES[[#This Row],[Columna1]]))</f>
        <v>AC#5\2025</v>
      </c>
      <c r="H19" s="17">
        <v>45674</v>
      </c>
      <c r="I19" s="18" t="s">
        <v>331</v>
      </c>
      <c r="J19" s="60">
        <v>45989</v>
      </c>
      <c r="K19" s="60">
        <v>46021</v>
      </c>
      <c r="L19" s="60"/>
      <c r="M19" s="19"/>
      <c r="N19" s="58" t="s">
        <v>119</v>
      </c>
      <c r="O19" s="57" t="s">
        <v>218</v>
      </c>
      <c r="P19" s="21" t="s">
        <v>299</v>
      </c>
      <c r="Q19" s="18"/>
      <c r="R19" s="21"/>
      <c r="S19" s="59"/>
      <c r="T19" s="59"/>
      <c r="U19" s="72" t="str">
        <f>IF(ACCIONES[[#This Row],[Fecha Recibido]]="","",IF(NETWORKDAYS(ACCIONES[[#This Row],[Fecha entrega]],ACCIONES[[#This Row],[Fecha Recibido]])&lt;=5,1,0))</f>
        <v/>
      </c>
      <c r="V19" s="72" t="str">
        <f>IF(ACCIONES[[#This Row],[Fecha entrega]]="","",TEXT(ACCIONES[[#This Row],[Fecha entrega]],"MMMM"))</f>
        <v/>
      </c>
      <c r="W19" s="72" t="str">
        <f>IF(ACCIONES[[#This Row],[Fecha entrega]]="","",YEAR(ACCIONES[[#This Row],[Fecha entrega]]))</f>
        <v/>
      </c>
      <c r="X19" s="14" t="str">
        <f>IF(ACCIONES[[#This Row],[Fecha Recibido]]="","",TEXT(ACCIONES[[#This Row],[Fecha Recibido]],"mmmm"))</f>
        <v/>
      </c>
      <c r="Y19" s="14" t="str">
        <f>IF(ACCIONES[[#This Row],[Fecha Recibido]]="","",YEAR(ACCIONES[[#This Row],[Fecha Recibido]]))</f>
        <v/>
      </c>
      <c r="Z19" s="14" t="str">
        <f>_xlfn.CONCAT(ACCIONES[[#This Row],[DIRECCIÓN O GERENCIA]],ACCIONES[[#This Row],[ORIGEN]])</f>
        <v>Dirección ComercialIndicador</v>
      </c>
      <c r="AA19" s="14" t="str">
        <f>_xlfn.CONCAT(ACCIONES[[#This Row],[DIRECCIÓN O GERENCIA]],ACCIONES[[#This Row],[ESTATUS]])</f>
        <v>Dirección ComercialCerrada</v>
      </c>
      <c r="AB19" s="168">
        <f>IF(ACCIONES[[#This Row],[ESTATUS]]="","",MAX(ACCIONES[[#This Row],[FECHA DE CIERRE]:[REPLANTEO '#2 "Formato de replanteo"]]))</f>
        <v>46021</v>
      </c>
      <c r="AC19" s="14" t="str">
        <f ca="1">IFERROR(IF(ACCIONES[[#This Row],[FECHA DE CIERRE]]&gt;TODAY(),1,""),"")</f>
        <v/>
      </c>
      <c r="AD19" s="14" t="str">
        <f ca="1">IFERROR(IF(ACCIONES[[#This Row],[REPLANTEO '#1]]&gt;TODAY(),1,""),"")</f>
        <v/>
      </c>
      <c r="AE19" s="14" t="str">
        <f ca="1">IFERROR(IF(ACCIONES[[#This Row],[REPLANTEO '#2 "Formato de replanteo"]]&gt;TODAY(),1,""),"")</f>
        <v/>
      </c>
      <c r="AF19" s="14" t="str">
        <f ca="1">IFERROR(IF(ACCIONES[[#This Row],[REPLANTEO '#3]]&gt;TODAY(),1,""),"")</f>
        <v/>
      </c>
      <c r="AG19" s="14" t="str">
        <f>IFERROR(IF(ACCIONES[[#This Row],[ESTATUS]]="CIERRE",1,""),"")</f>
        <v/>
      </c>
      <c r="AH19" s="14">
        <f>IFERROR(IF(ACCIONES[[#This Row],[ESTATUS]]="CERRADA",1,""),"")</f>
        <v>1</v>
      </c>
      <c r="AI19" s="14" t="str">
        <f>IF(ACCIONES[[#This Row],[ESTATUS]]="Abierta",COUNT(ACCIONES[[#This Row],[CÓDIGO 4 EN FECHA DE CIERRE ]:[CÓDIGO 9 ESTATUS CERRADA]]),"")</f>
        <v/>
      </c>
      <c r="AJ19" s="14" t="str" cm="1">
        <f t="array" aca="1" ref="AJ1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19" s="14" t="str" cm="1">
        <f t="array" aca="1" ref="AK1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19" s="14" t="str" cm="1">
        <f t="array" aca="1" ref="AL1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19" s="14" t="str" cm="1">
        <f t="array" aca="1" ref="AM1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19" s="14" t="b">
        <f ca="1">IFERROR(COUNTIF(ACCIONES[[#This Row],[CÓDIGO 11 POR VENCER FECHA CIERRE]:[CÓDIGO 14 FUERA DE REPLANTEO 3]],3)=1," ")</f>
        <v>0</v>
      </c>
      <c r="AO19" s="14" t="str">
        <f>IFERROR(VLOOKUP(ACCIONES[[#This Row],[DIRECCIÓN O GERENCIA]],AREAS[#All],3,0),"")</f>
        <v/>
      </c>
    </row>
    <row r="20" spans="3:41" ht="63.75" hidden="1" customHeight="1">
      <c r="C20" s="71">
        <f>IF(ACCIONES[[#This Row],[FECHA DE APERTURA]]="","",YEAR(ACCIONES[[#This Row],[FECHA DE APERTURA]]))</f>
        <v>2025</v>
      </c>
      <c r="D20" s="71">
        <f t="shared" si="0"/>
        <v>19</v>
      </c>
      <c r="E20" s="71"/>
      <c r="F20" s="72">
        <f t="shared" si="1"/>
        <v>6</v>
      </c>
      <c r="G20" s="15" t="str">
        <f>IF(ACCIONES[[#This Row],[FECHA DE APERTURA]]="","",IF(ACCIONES[[#This Row],[Columna1]]="","AC#"&amp;ACCIONES[[#This Row],[foliox]]&amp;"\"&amp;YEAR(ACCIONES[[#This Row],[FECHA DE APERTURA]]),ACCIONES[[#This Row],[Columna1]]))</f>
        <v>AC#6\2025</v>
      </c>
      <c r="H20" s="17">
        <v>45674</v>
      </c>
      <c r="I20" s="18" t="s">
        <v>332</v>
      </c>
      <c r="J20" s="60">
        <v>46003</v>
      </c>
      <c r="K20" s="60"/>
      <c r="L20" s="60"/>
      <c r="M20" s="19"/>
      <c r="N20" s="58" t="s">
        <v>92</v>
      </c>
      <c r="O20" s="57" t="s">
        <v>218</v>
      </c>
      <c r="P20" s="21" t="s">
        <v>299</v>
      </c>
      <c r="Q20" s="18"/>
      <c r="R20" s="21" t="s">
        <v>156</v>
      </c>
      <c r="S20" s="59">
        <v>45755</v>
      </c>
      <c r="T20" s="59">
        <v>45762</v>
      </c>
      <c r="U20" s="72">
        <f>IF(ACCIONES[[#This Row],[Fecha Recibido]]="","",IF(NETWORKDAYS(ACCIONES[[#This Row],[Fecha entrega]],ACCIONES[[#This Row],[Fecha Recibido]])&lt;=5,1,0))</f>
        <v>0</v>
      </c>
      <c r="V20" s="72" t="str">
        <f>IF(ACCIONES[[#This Row],[Fecha entrega]]="","",TEXT(ACCIONES[[#This Row],[Fecha entrega]],"MMMM"))</f>
        <v>abril</v>
      </c>
      <c r="W20" s="72">
        <f>IF(ACCIONES[[#This Row],[Fecha entrega]]="","",YEAR(ACCIONES[[#This Row],[Fecha entrega]]))</f>
        <v>2025</v>
      </c>
      <c r="X20" s="14" t="str">
        <f>IF(ACCIONES[[#This Row],[Fecha Recibido]]="","",TEXT(ACCIONES[[#This Row],[Fecha Recibido]],"mmmm"))</f>
        <v>abril</v>
      </c>
      <c r="Y20" s="14">
        <f>IF(ACCIONES[[#This Row],[Fecha Recibido]]="","",YEAR(ACCIONES[[#This Row],[Fecha Recibido]]))</f>
        <v>2025</v>
      </c>
      <c r="Z20" s="14" t="str">
        <f>_xlfn.CONCAT(ACCIONES[[#This Row],[DIRECCIÓN O GERENCIA]],ACCIONES[[#This Row],[ORIGEN]])</f>
        <v>Suburbano TécnicoIndicador</v>
      </c>
      <c r="AA20" s="14" t="str">
        <f>_xlfn.CONCAT(ACCIONES[[#This Row],[DIRECCIÓN O GERENCIA]],ACCIONES[[#This Row],[ESTATUS]])</f>
        <v>Suburbano TécnicoCerrada</v>
      </c>
      <c r="AB20" s="168">
        <f>IF(ACCIONES[[#This Row],[ESTATUS]]="","",MAX(ACCIONES[[#This Row],[FECHA DE CIERRE]:[REPLANTEO '#2 "Formato de replanteo"]]))</f>
        <v>46003</v>
      </c>
      <c r="AC20" s="14" t="str">
        <f ca="1">IFERROR(IF(ACCIONES[[#This Row],[FECHA DE CIERRE]]&gt;TODAY(),1,""),"")</f>
        <v/>
      </c>
      <c r="AD20" s="14" t="str">
        <f ca="1">IFERROR(IF(ACCIONES[[#This Row],[REPLANTEO '#1]]&gt;TODAY(),1,""),"")</f>
        <v/>
      </c>
      <c r="AE20" s="14" t="str">
        <f ca="1">IFERROR(IF(ACCIONES[[#This Row],[REPLANTEO '#2 "Formato de replanteo"]]&gt;TODAY(),1,""),"")</f>
        <v/>
      </c>
      <c r="AF20" s="14" t="str">
        <f ca="1">IFERROR(IF(ACCIONES[[#This Row],[REPLANTEO '#3]]&gt;TODAY(),1,""),"")</f>
        <v/>
      </c>
      <c r="AG20" s="14" t="str">
        <f>IFERROR(IF(ACCIONES[[#This Row],[ESTATUS]]="CIERRE",1,""),"")</f>
        <v/>
      </c>
      <c r="AH20" s="14">
        <f>IFERROR(IF(ACCIONES[[#This Row],[ESTATUS]]="CERRADA",1,""),"")</f>
        <v>1</v>
      </c>
      <c r="AI20" s="14" t="str">
        <f>IF(ACCIONES[[#This Row],[ESTATUS]]="Abierta",COUNT(ACCIONES[[#This Row],[CÓDIGO 4 EN FECHA DE CIERRE ]:[CÓDIGO 9 ESTATUS CERRADA]]),"")</f>
        <v/>
      </c>
      <c r="AJ20" s="14" t="str" cm="1">
        <f t="array" aca="1" ref="AJ2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0" s="14" t="str" cm="1">
        <f t="array" aca="1" ref="AK2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0" s="14" t="str" cm="1">
        <f t="array" aca="1" ref="AL2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0" s="14" t="str" cm="1">
        <f t="array" aca="1" ref="AM2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0" s="14" t="b">
        <f ca="1">IFERROR(COUNTIF(ACCIONES[[#This Row],[CÓDIGO 11 POR VENCER FECHA CIERRE]:[CÓDIGO 14 FUERA DE REPLANTEO 3]],3)=1," ")</f>
        <v>0</v>
      </c>
      <c r="AO20" s="14" t="str">
        <f>IFERROR(VLOOKUP(ACCIONES[[#This Row],[DIRECCIÓN O GERENCIA]],AREAS[#All],3,0),"")</f>
        <v>mmendoza@oomapasc.gob.mx</v>
      </c>
    </row>
    <row r="21" spans="3:41" ht="42" hidden="1">
      <c r="C21" s="71">
        <f>IF(ACCIONES[[#This Row],[FECHA DE APERTURA]]="","",YEAR(ACCIONES[[#This Row],[FECHA DE APERTURA]]))</f>
        <v>2025</v>
      </c>
      <c r="D21" s="71">
        <f>D20+1</f>
        <v>20</v>
      </c>
      <c r="E21" s="71"/>
      <c r="F21" s="72">
        <f t="shared" si="1"/>
        <v>7</v>
      </c>
      <c r="G21" s="15" t="str">
        <f>IF(ACCIONES[[#This Row],[FECHA DE APERTURA]]="","",IF(ACCIONES[[#This Row],[Columna1]]="","AC#"&amp;ACCIONES[[#This Row],[foliox]]&amp;"\"&amp;YEAR(ACCIONES[[#This Row],[FECHA DE APERTURA]]),ACCIONES[[#This Row],[Columna1]]))</f>
        <v>AC#7\2025</v>
      </c>
      <c r="H21" s="17">
        <v>45673</v>
      </c>
      <c r="I21" s="18" t="s">
        <v>333</v>
      </c>
      <c r="J21" s="60">
        <v>46022</v>
      </c>
      <c r="K21" s="60">
        <v>46112</v>
      </c>
      <c r="L21" s="60"/>
      <c r="M21" s="19"/>
      <c r="N21" s="58" t="s">
        <v>92</v>
      </c>
      <c r="O21" s="57" t="s">
        <v>218</v>
      </c>
      <c r="P21" s="21" t="s">
        <v>334</v>
      </c>
      <c r="Q21" s="18" t="s">
        <v>335</v>
      </c>
      <c r="R21" s="21" t="s">
        <v>159</v>
      </c>
      <c r="S21" s="59">
        <v>46107</v>
      </c>
      <c r="T21" s="59">
        <v>46108</v>
      </c>
      <c r="U21" s="72">
        <f>IF(ACCIONES[[#This Row],[Fecha Recibido]]="","",IF(NETWORKDAYS(ACCIONES[[#This Row],[Fecha entrega]],ACCIONES[[#This Row],[Fecha Recibido]])&lt;=5,1,0))</f>
        <v>1</v>
      </c>
      <c r="V21" s="72" t="str">
        <f>IF(ACCIONES[[#This Row],[Fecha entrega]]="","",TEXT(ACCIONES[[#This Row],[Fecha entrega]],"MMMM"))</f>
        <v>marzo</v>
      </c>
      <c r="W21" s="72">
        <f>IF(ACCIONES[[#This Row],[Fecha entrega]]="","",YEAR(ACCIONES[[#This Row],[Fecha entrega]]))</f>
        <v>2026</v>
      </c>
      <c r="X21" s="14" t="str">
        <f>IF(ACCIONES[[#This Row],[Fecha Recibido]]="","",TEXT(ACCIONES[[#This Row],[Fecha Recibido]],"mmmm"))</f>
        <v>marzo</v>
      </c>
      <c r="Y21" s="14">
        <f>IF(ACCIONES[[#This Row],[Fecha Recibido]]="","",YEAR(ACCIONES[[#This Row],[Fecha Recibido]]))</f>
        <v>2026</v>
      </c>
      <c r="Z21" s="14" t="str">
        <f>_xlfn.CONCAT(ACCIONES[[#This Row],[DIRECCIÓN O GERENCIA]],ACCIONES[[#This Row],[ORIGEN]])</f>
        <v>Suburbano TécnicoAuditoría #10</v>
      </c>
      <c r="AA21" s="14" t="str">
        <f>_xlfn.CONCAT(ACCIONES[[#This Row],[DIRECCIÓN O GERENCIA]],ACCIONES[[#This Row],[ESTATUS]])</f>
        <v>Suburbano TécnicoCerrada</v>
      </c>
      <c r="AB21" s="168">
        <f>IF(ACCIONES[[#This Row],[ESTATUS]]="","",MAX(ACCIONES[[#This Row],[FECHA DE CIERRE]:[REPLANTEO '#2 "Formato de replanteo"]]))</f>
        <v>46112</v>
      </c>
      <c r="AC21" s="14" t="str">
        <f ca="1">IFERROR(IF(ACCIONES[[#This Row],[FECHA DE CIERRE]]&gt;TODAY(),1,""),"")</f>
        <v/>
      </c>
      <c r="AD21" s="14" t="str">
        <f ca="1">IFERROR(IF(ACCIONES[[#This Row],[REPLANTEO '#1]]&gt;TODAY(),1,""),"")</f>
        <v/>
      </c>
      <c r="AE21" s="14" t="str">
        <f ca="1">IFERROR(IF(ACCIONES[[#This Row],[REPLANTEO '#2 "Formato de replanteo"]]&gt;TODAY(),1,""),"")</f>
        <v/>
      </c>
      <c r="AF21" s="14" t="str">
        <f ca="1">IFERROR(IF(ACCIONES[[#This Row],[REPLANTEO '#3]]&gt;TODAY(),1,""),"")</f>
        <v/>
      </c>
      <c r="AG21" s="14" t="str">
        <f>IFERROR(IF(ACCIONES[[#This Row],[ESTATUS]]="CIERRE",1,""),"")</f>
        <v/>
      </c>
      <c r="AH21" s="14">
        <f>IFERROR(IF(ACCIONES[[#This Row],[ESTATUS]]="CERRADA",1,""),"")</f>
        <v>1</v>
      </c>
      <c r="AI21" s="14" t="str">
        <f>IF(ACCIONES[[#This Row],[ESTATUS]]="Abierta",COUNT(ACCIONES[[#This Row],[CÓDIGO 4 EN FECHA DE CIERRE ]:[CÓDIGO 9 ESTATUS CERRADA]]),"")</f>
        <v/>
      </c>
      <c r="AJ21" s="14" t="str" cm="1">
        <f t="array" aca="1" ref="AJ2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1" s="14" t="str" cm="1">
        <f t="array" aca="1" ref="AK2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1" s="14" t="str" cm="1">
        <f t="array" aca="1" ref="AL2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1" s="14" t="str" cm="1">
        <f t="array" aca="1" ref="AM2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1" s="14" t="b">
        <f ca="1">IFERROR(COUNTIF(ACCIONES[[#This Row],[CÓDIGO 11 POR VENCER FECHA CIERRE]:[CÓDIGO 14 FUERA DE REPLANTEO 3]],3)=1," ")</f>
        <v>0</v>
      </c>
      <c r="AO21" s="14" t="str">
        <f>IFERROR(VLOOKUP(ACCIONES[[#This Row],[DIRECCIÓN O GERENCIA]],AREAS[#All],3,0),"")</f>
        <v>mmendoza@oomapasc.gob.mx</v>
      </c>
    </row>
    <row r="22" spans="3:41" ht="74.25" hidden="1" customHeight="1">
      <c r="C22" s="71">
        <f>IF(ACCIONES[[#This Row],[FECHA DE APERTURA]]="","",YEAR(ACCIONES[[#This Row],[FECHA DE APERTURA]]))</f>
        <v>2025</v>
      </c>
      <c r="D22" s="71">
        <f t="shared" si="0"/>
        <v>21</v>
      </c>
      <c r="E22" s="71"/>
      <c r="F22" s="72">
        <f t="shared" si="1"/>
        <v>8</v>
      </c>
      <c r="G22" s="15" t="str">
        <f>IF(ACCIONES[[#This Row],[FECHA DE APERTURA]]="","",IF(ACCIONES[[#This Row],[Columna1]]="","AC#"&amp;ACCIONES[[#This Row],[foliox]]&amp;"\"&amp;YEAR(ACCIONES[[#This Row],[FECHA DE APERTURA]]),ACCIONES[[#This Row],[Columna1]]))</f>
        <v>AC#8\2025</v>
      </c>
      <c r="H22" s="17">
        <v>45702</v>
      </c>
      <c r="I22" s="18" t="s">
        <v>336</v>
      </c>
      <c r="J22" s="60">
        <v>45828</v>
      </c>
      <c r="K22" s="60">
        <v>45961</v>
      </c>
      <c r="L22" s="60"/>
      <c r="M22" s="19"/>
      <c r="N22" s="58" t="s">
        <v>35</v>
      </c>
      <c r="O22" s="57" t="s">
        <v>218</v>
      </c>
      <c r="P22" s="21" t="s">
        <v>312</v>
      </c>
      <c r="Q22" s="18" t="s">
        <v>337</v>
      </c>
      <c r="R22" s="21" t="s">
        <v>178</v>
      </c>
      <c r="S22" s="59"/>
      <c r="T22" s="59"/>
      <c r="U22" s="72" t="str">
        <f>IF(ACCIONES[[#This Row],[Fecha Recibido]]="","",IF(NETWORKDAYS(ACCIONES[[#This Row],[Fecha entrega]],ACCIONES[[#This Row],[Fecha Recibido]])&lt;=5,1,0))</f>
        <v/>
      </c>
      <c r="V22" s="72" t="str">
        <f>IF(ACCIONES[[#This Row],[Fecha entrega]]="","",TEXT(ACCIONES[[#This Row],[Fecha entrega]],"MMMM"))</f>
        <v/>
      </c>
      <c r="W22" s="72" t="str">
        <f>IF(ACCIONES[[#This Row],[Fecha entrega]]="","",YEAR(ACCIONES[[#This Row],[Fecha entrega]]))</f>
        <v/>
      </c>
      <c r="X22" s="14" t="str">
        <f>IF(ACCIONES[[#This Row],[Fecha Recibido]]="","",TEXT(ACCIONES[[#This Row],[Fecha Recibido]],"mmmm"))</f>
        <v/>
      </c>
      <c r="Y22" s="14" t="str">
        <f>IF(ACCIONES[[#This Row],[Fecha Recibido]]="","",YEAR(ACCIONES[[#This Row],[Fecha Recibido]]))</f>
        <v/>
      </c>
      <c r="Z22" s="14" t="str">
        <f>_xlfn.CONCAT(ACCIONES[[#This Row],[DIRECCIÓN O GERENCIA]],ACCIONES[[#This Row],[ORIGEN]])</f>
        <v>Sistema de Gestión de CalidadAuditoría Externa</v>
      </c>
      <c r="AA22" s="14" t="str">
        <f>_xlfn.CONCAT(ACCIONES[[#This Row],[DIRECCIÓN O GERENCIA]],ACCIONES[[#This Row],[ESTATUS]])</f>
        <v>Sistema de Gestión de CalidadCerrada</v>
      </c>
      <c r="AB22" s="168">
        <f>IF(ACCIONES[[#This Row],[ESTATUS]]="","",MAX(ACCIONES[[#This Row],[FECHA DE CIERRE]:[REPLANTEO '#2 "Formato de replanteo"]]))</f>
        <v>45961</v>
      </c>
      <c r="AC22" s="14" t="str">
        <f ca="1">IFERROR(IF(ACCIONES[[#This Row],[FECHA DE CIERRE]]&gt;TODAY(),1,""),"")</f>
        <v/>
      </c>
      <c r="AD22" s="14" t="str">
        <f ca="1">IFERROR(IF(ACCIONES[[#This Row],[REPLANTEO '#1]]&gt;TODAY(),1,""),"")</f>
        <v/>
      </c>
      <c r="AE22" s="14" t="str">
        <f ca="1">IFERROR(IF(ACCIONES[[#This Row],[REPLANTEO '#2 "Formato de replanteo"]]&gt;TODAY(),1,""),"")</f>
        <v/>
      </c>
      <c r="AF22" s="14" t="str">
        <f ca="1">IFERROR(IF(ACCIONES[[#This Row],[REPLANTEO '#3]]&gt;TODAY(),1,""),"")</f>
        <v/>
      </c>
      <c r="AG22" s="14" t="str">
        <f>IFERROR(IF(ACCIONES[[#This Row],[ESTATUS]]="CIERRE",1,""),"")</f>
        <v/>
      </c>
      <c r="AH22" s="14">
        <f>IFERROR(IF(ACCIONES[[#This Row],[ESTATUS]]="CERRADA",1,""),"")</f>
        <v>1</v>
      </c>
      <c r="AI22" s="14" t="str">
        <f>IF(ACCIONES[[#This Row],[ESTATUS]]="Abierta",COUNT(ACCIONES[[#This Row],[CÓDIGO 4 EN FECHA DE CIERRE ]:[CÓDIGO 9 ESTATUS CERRADA]]),"")</f>
        <v/>
      </c>
      <c r="AJ22" s="14" t="str" cm="1">
        <f t="array" aca="1" ref="AJ2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2" s="14" t="str" cm="1">
        <f t="array" aca="1" ref="AK2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2" s="14" t="str" cm="1">
        <f t="array" aca="1" ref="AL2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2" s="14" t="str" cm="1">
        <f t="array" aca="1" ref="AM2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2" s="14" t="b">
        <f ca="1">IFERROR(COUNTIF(ACCIONES[[#This Row],[CÓDIGO 11 POR VENCER FECHA CIERRE]:[CÓDIGO 14 FUERA DE REPLANTEO 3]],3)=1," ")</f>
        <v>0</v>
      </c>
      <c r="AO22" s="14">
        <f>IFERROR(VLOOKUP(ACCIONES[[#This Row],[DIRECCIÓN O GERENCIA]],AREAS[#All],3,0),"")</f>
        <v>0</v>
      </c>
    </row>
    <row r="23" spans="3:41" ht="157.5">
      <c r="C23" s="71">
        <f>IF(ACCIONES[[#This Row],[FECHA DE APERTURA]]="","",YEAR(ACCIONES[[#This Row],[FECHA DE APERTURA]]))</f>
        <v>2025</v>
      </c>
      <c r="D23" s="71">
        <f t="shared" ref="D23:D24" si="3">D22+1</f>
        <v>22</v>
      </c>
      <c r="E23" s="71"/>
      <c r="F23" s="72">
        <f t="shared" si="1"/>
        <v>9</v>
      </c>
      <c r="G23" s="15" t="str">
        <f>IF(ACCIONES[[#This Row],[FECHA DE APERTURA]]="","",IF(ACCIONES[[#This Row],[Columna1]]="","AC#"&amp;ACCIONES[[#This Row],[foliox]]&amp;"\"&amp;YEAR(ACCIONES[[#This Row],[FECHA DE APERTURA]]),ACCIONES[[#This Row],[Columna1]]))</f>
        <v>AC#9\2025</v>
      </c>
      <c r="H23" s="17">
        <v>45777</v>
      </c>
      <c r="I23" s="18" t="s">
        <v>338</v>
      </c>
      <c r="J23" s="60">
        <v>45846</v>
      </c>
      <c r="K23" s="60">
        <v>46127</v>
      </c>
      <c r="L23" s="60"/>
      <c r="M23" s="19"/>
      <c r="N23" s="58" t="s">
        <v>35</v>
      </c>
      <c r="O23" s="57" t="s">
        <v>339</v>
      </c>
      <c r="P23" s="21" t="s">
        <v>340</v>
      </c>
      <c r="Q23" s="21"/>
      <c r="R23" s="21"/>
      <c r="S23" s="59"/>
      <c r="T23" s="59"/>
      <c r="U23" s="72" t="str">
        <f>IF(ACCIONES[[#This Row],[Fecha Recibido]]="","",IF(NETWORKDAYS(ACCIONES[[#This Row],[Fecha entrega]],ACCIONES[[#This Row],[Fecha Recibido]])&lt;=5,1,0))</f>
        <v/>
      </c>
      <c r="V23" s="72" t="str">
        <f>IF(ACCIONES[[#This Row],[Fecha entrega]]="","",TEXT(ACCIONES[[#This Row],[Fecha entrega]],"MMMM"))</f>
        <v/>
      </c>
      <c r="W23" s="72" t="str">
        <f>IF(ACCIONES[[#This Row],[Fecha entrega]]="","",YEAR(ACCIONES[[#This Row],[Fecha entrega]]))</f>
        <v/>
      </c>
      <c r="X23" s="14" t="str">
        <f>IF(ACCIONES[[#This Row],[Fecha Recibido]]="","",TEXT(ACCIONES[[#This Row],[Fecha Recibido]],"mmmm"))</f>
        <v/>
      </c>
      <c r="Y23" s="14" t="str">
        <f>IF(ACCIONES[[#This Row],[Fecha Recibido]]="","",YEAR(ACCIONES[[#This Row],[Fecha Recibido]]))</f>
        <v/>
      </c>
      <c r="Z23" s="14" t="str">
        <f>_xlfn.CONCAT(ACCIONES[[#This Row],[DIRECCIÓN O GERENCIA]],ACCIONES[[#This Row],[ORIGEN]])</f>
        <v>Sistema de Gestión de CalidadAuditoría #2</v>
      </c>
      <c r="AA23" s="14" t="str">
        <f>_xlfn.CONCAT(ACCIONES[[#This Row],[DIRECCIÓN O GERENCIA]],ACCIONES[[#This Row],[ESTATUS]])</f>
        <v>Sistema de Gestión de CalidadAbierta</v>
      </c>
      <c r="AB23" s="168">
        <f>IF(ACCIONES[[#This Row],[ESTATUS]]="","",MAX(ACCIONES[[#This Row],[FECHA DE CIERRE]:[REPLANTEO '#2 "Formato de replanteo"]]))</f>
        <v>46127</v>
      </c>
      <c r="AC23" s="14" t="str">
        <f ca="1">IFERROR(IF(ACCIONES[[#This Row],[FECHA DE CIERRE]]&gt;TODAY(),1,""),"")</f>
        <v/>
      </c>
      <c r="AD23" s="14" t="str">
        <f ca="1">IFERROR(IF(ACCIONES[[#This Row],[REPLANTEO '#1]]&gt;TODAY(),1,""),"")</f>
        <v/>
      </c>
      <c r="AE23" s="14" t="str">
        <f ca="1">IFERROR(IF(ACCIONES[[#This Row],[REPLANTEO '#2 "Formato de replanteo"]]&gt;TODAY(),1,""),"")</f>
        <v/>
      </c>
      <c r="AF23" s="14" t="str">
        <f ca="1">IFERROR(IF(ACCIONES[[#This Row],[REPLANTEO '#3]]&gt;TODAY(),1,""),"")</f>
        <v/>
      </c>
      <c r="AG23" s="14" t="str">
        <f>IFERROR(IF(ACCIONES[[#This Row],[ESTATUS]]="CIERRE",1,""),"")</f>
        <v/>
      </c>
      <c r="AH23" s="14" t="str">
        <f>IFERROR(IF(ACCIONES[[#This Row],[ESTATUS]]="CERRADA",1,""),"")</f>
        <v/>
      </c>
      <c r="AI23" s="14">
        <f ca="1">IF(ACCIONES[[#This Row],[ESTATUS]]="Abierta",COUNT(ACCIONES[[#This Row],[CÓDIGO 4 EN FECHA DE CIERRE ]:[CÓDIGO 9 ESTATUS CERRADA]]),"")</f>
        <v>0</v>
      </c>
      <c r="AJ23" s="14" t="str" cm="1">
        <f t="array" aca="1" ref="AJ2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3" s="14" t="str" cm="1">
        <f t="array" aca="1" ref="AK2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3" s="14" t="str" cm="1">
        <f t="array" aca="1" ref="AL2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3" s="14" t="str" cm="1">
        <f t="array" aca="1" ref="AM2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3" s="14" t="b">
        <f ca="1">IFERROR(COUNTIF(ACCIONES[[#This Row],[CÓDIGO 11 POR VENCER FECHA CIERRE]:[CÓDIGO 14 FUERA DE REPLANTEO 3]],3)=1," ")</f>
        <v>0</v>
      </c>
      <c r="AO23" s="14">
        <f>IFERROR(VLOOKUP(ACCIONES[[#This Row],[DIRECCIÓN O GERENCIA]],AREAS[#All],3,0),"")</f>
        <v>0</v>
      </c>
    </row>
    <row r="24" spans="3:41" ht="31.5">
      <c r="C24" s="71">
        <f>IF(ACCIONES[[#This Row],[FECHA DE APERTURA]]="","",YEAR(ACCIONES[[#This Row],[FECHA DE APERTURA]]))</f>
        <v>2025</v>
      </c>
      <c r="D24" s="71">
        <f t="shared" si="3"/>
        <v>23</v>
      </c>
      <c r="E24" s="71"/>
      <c r="F24" s="72">
        <f t="shared" si="1"/>
        <v>10</v>
      </c>
      <c r="G24" s="15" t="str">
        <f>IF(ACCIONES[[#This Row],[FECHA DE APERTURA]]="","",IF(ACCIONES[[#This Row],[Columna1]]="","AC#"&amp;ACCIONES[[#This Row],[foliox]]&amp;"\"&amp;YEAR(ACCIONES[[#This Row],[FECHA DE APERTURA]]),ACCIONES[[#This Row],[Columna1]]))</f>
        <v>AC#10\2025</v>
      </c>
      <c r="H24" s="17">
        <v>45674</v>
      </c>
      <c r="I24" s="18" t="s">
        <v>341</v>
      </c>
      <c r="J24" s="60">
        <v>46014</v>
      </c>
      <c r="K24" s="60">
        <v>46379</v>
      </c>
      <c r="L24" s="60"/>
      <c r="M24" s="19"/>
      <c r="N24" s="58" t="s">
        <v>92</v>
      </c>
      <c r="O24" s="57" t="s">
        <v>339</v>
      </c>
      <c r="P24" s="21" t="s">
        <v>342</v>
      </c>
      <c r="Q24" s="18">
        <v>64</v>
      </c>
      <c r="R24" s="21"/>
      <c r="S24" s="59"/>
      <c r="T24" s="59"/>
      <c r="U24" s="72" t="str">
        <f>IF(ACCIONES[[#This Row],[Fecha Recibido]]="","",IF(NETWORKDAYS(ACCIONES[[#This Row],[Fecha entrega]],ACCIONES[[#This Row],[Fecha Recibido]])&lt;=5,1,0))</f>
        <v/>
      </c>
      <c r="V24" s="72" t="str">
        <f>IF(ACCIONES[[#This Row],[Fecha entrega]]="","",TEXT(ACCIONES[[#This Row],[Fecha entrega]],"MMMM"))</f>
        <v/>
      </c>
      <c r="W24" s="72" t="str">
        <f>IF(ACCIONES[[#This Row],[Fecha entrega]]="","",YEAR(ACCIONES[[#This Row],[Fecha entrega]]))</f>
        <v/>
      </c>
      <c r="X24" s="14" t="str">
        <f>IF(ACCIONES[[#This Row],[Fecha Recibido]]="","",TEXT(ACCIONES[[#This Row],[Fecha Recibido]],"mmmm"))</f>
        <v/>
      </c>
      <c r="Y24" s="14" t="str">
        <f>IF(ACCIONES[[#This Row],[Fecha Recibido]]="","",YEAR(ACCIONES[[#This Row],[Fecha Recibido]]))</f>
        <v/>
      </c>
      <c r="Z24" s="14" t="str">
        <f>_xlfn.CONCAT(ACCIONES[[#This Row],[DIRECCIÓN O GERENCIA]],ACCIONES[[#This Row],[ORIGEN]])</f>
        <v>Suburbano TécnicoAuditoría #11</v>
      </c>
      <c r="AA24" s="14" t="str">
        <f>_xlfn.CONCAT(ACCIONES[[#This Row],[DIRECCIÓN O GERENCIA]],ACCIONES[[#This Row],[ESTATUS]])</f>
        <v>Suburbano TécnicoAbierta</v>
      </c>
      <c r="AB24" s="168">
        <f>IF(ACCIONES[[#This Row],[ESTATUS]]="","",MAX(ACCIONES[[#This Row],[FECHA DE CIERRE]:[REPLANTEO '#2 "Formato de replanteo"]]))</f>
        <v>46379</v>
      </c>
      <c r="AC24" s="14" t="str">
        <f ca="1">IFERROR(IF(ACCIONES[[#This Row],[FECHA DE CIERRE]]&gt;TODAY(),1,""),"")</f>
        <v/>
      </c>
      <c r="AD24" s="14">
        <f ca="1">IFERROR(IF(ACCIONES[[#This Row],[REPLANTEO '#1]]&gt;TODAY(),1,""),"")</f>
        <v>1</v>
      </c>
      <c r="AE24" s="14" t="str">
        <f ca="1">IFERROR(IF(ACCIONES[[#This Row],[REPLANTEO '#2 "Formato de replanteo"]]&gt;TODAY(),1,""),"")</f>
        <v/>
      </c>
      <c r="AF24" s="14" t="str">
        <f ca="1">IFERROR(IF(ACCIONES[[#This Row],[REPLANTEO '#3]]&gt;TODAY(),1,""),"")</f>
        <v/>
      </c>
      <c r="AG24" s="14" t="str">
        <f>IFERROR(IF(ACCIONES[[#This Row],[ESTATUS]]="CIERRE",1,""),"")</f>
        <v/>
      </c>
      <c r="AH24" s="14" t="str">
        <f>IFERROR(IF(ACCIONES[[#This Row],[ESTATUS]]="CERRADA",1,""),"")</f>
        <v/>
      </c>
      <c r="AI24" s="14">
        <f ca="1">IF(ACCIONES[[#This Row],[ESTATUS]]="Abierta",COUNT(ACCIONES[[#This Row],[CÓDIGO 4 EN FECHA DE CIERRE ]:[CÓDIGO 9 ESTATUS CERRADA]]),"")</f>
        <v>1</v>
      </c>
      <c r="AJ24" s="14" t="str" cm="1">
        <f t="array" aca="1" ref="AJ2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4" s="14" cm="1">
        <f t="array" aca="1" ref="AK2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10</v>
      </c>
      <c r="AL24" s="14" t="str" cm="1">
        <f t="array" aca="1" ref="AL2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4" s="14" t="str" cm="1">
        <f t="array" aca="1" ref="AM2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4" s="14" t="b">
        <f ca="1">IFERROR(COUNTIF(ACCIONES[[#This Row],[CÓDIGO 11 POR VENCER FECHA CIERRE]:[CÓDIGO 14 FUERA DE REPLANTEO 3]],3)=1," ")</f>
        <v>0</v>
      </c>
      <c r="AO24" s="14" t="str">
        <f>IFERROR(VLOOKUP(ACCIONES[[#This Row],[DIRECCIÓN O GERENCIA]],AREAS[#All],3,0),"")</f>
        <v>mmendoza@oomapasc.gob.mx</v>
      </c>
    </row>
    <row r="25" spans="3:41" ht="23.25" hidden="1" customHeight="1">
      <c r="C25" s="71">
        <f>IF(ACCIONES[[#This Row],[FECHA DE APERTURA]]="","",YEAR(ACCIONES[[#This Row],[FECHA DE APERTURA]]))</f>
        <v>2025</v>
      </c>
      <c r="D25" s="71">
        <f t="shared" si="0"/>
        <v>24</v>
      </c>
      <c r="E25" s="71"/>
      <c r="F25" s="72">
        <f t="shared" si="1"/>
        <v>11</v>
      </c>
      <c r="G25" s="15" t="str">
        <f>IF(ACCIONES[[#This Row],[FECHA DE APERTURA]]="","",IF(ACCIONES[[#This Row],[Columna1]]="","AC#"&amp;ACCIONES[[#This Row],[foliox]]&amp;"\"&amp;YEAR(ACCIONES[[#This Row],[FECHA DE APERTURA]]),ACCIONES[[#This Row],[Columna1]]))</f>
        <v>AC#11\2025</v>
      </c>
      <c r="H25" s="17">
        <v>45699</v>
      </c>
      <c r="I25" s="18" t="s">
        <v>343</v>
      </c>
      <c r="J25" s="60">
        <v>45775</v>
      </c>
      <c r="K25" s="60"/>
      <c r="L25" s="60"/>
      <c r="M25" s="19"/>
      <c r="N25" s="58" t="s">
        <v>35</v>
      </c>
      <c r="O25" s="57" t="s">
        <v>218</v>
      </c>
      <c r="P25" s="21" t="s">
        <v>312</v>
      </c>
      <c r="Q25" s="18"/>
      <c r="R25" s="21" t="s">
        <v>159</v>
      </c>
      <c r="S25" s="59">
        <v>45777</v>
      </c>
      <c r="T25" s="59">
        <v>45783</v>
      </c>
      <c r="U25" s="72">
        <f>IF(ACCIONES[[#This Row],[Fecha Recibido]]="","",IF(NETWORKDAYS(ACCIONES[[#This Row],[Fecha entrega]],ACCIONES[[#This Row],[Fecha Recibido]])&lt;=5,1,0))</f>
        <v>1</v>
      </c>
      <c r="V25" s="72" t="str">
        <f>IF(ACCIONES[[#This Row],[Fecha entrega]]="","",TEXT(ACCIONES[[#This Row],[Fecha entrega]],"MMMM"))</f>
        <v>abril</v>
      </c>
      <c r="W25" s="72">
        <f>IF(ACCIONES[[#This Row],[Fecha entrega]]="","",YEAR(ACCIONES[[#This Row],[Fecha entrega]]))</f>
        <v>2025</v>
      </c>
      <c r="X25" s="14" t="str">
        <f>IF(ACCIONES[[#This Row],[Fecha Recibido]]="","",TEXT(ACCIONES[[#This Row],[Fecha Recibido]],"mmmm"))</f>
        <v>mayo</v>
      </c>
      <c r="Y25" s="14">
        <f>IF(ACCIONES[[#This Row],[Fecha Recibido]]="","",YEAR(ACCIONES[[#This Row],[Fecha Recibido]]))</f>
        <v>2025</v>
      </c>
      <c r="Z25" s="14" t="str">
        <f>_xlfn.CONCAT(ACCIONES[[#This Row],[DIRECCIÓN O GERENCIA]],ACCIONES[[#This Row],[ORIGEN]])</f>
        <v>Sistema de Gestión de CalidadAuditoría Externa</v>
      </c>
      <c r="AA25" s="14" t="str">
        <f>_xlfn.CONCAT(ACCIONES[[#This Row],[DIRECCIÓN O GERENCIA]],ACCIONES[[#This Row],[ESTATUS]])</f>
        <v>Sistema de Gestión de CalidadCerrada</v>
      </c>
      <c r="AB25" s="168">
        <f>IF(ACCIONES[[#This Row],[ESTATUS]]="","",MAX(ACCIONES[[#This Row],[FECHA DE CIERRE]:[REPLANTEO '#2 "Formato de replanteo"]]))</f>
        <v>45775</v>
      </c>
      <c r="AC25" s="14" t="str">
        <f ca="1">IFERROR(IF(ACCIONES[[#This Row],[FECHA DE CIERRE]]&gt;TODAY(),1,""),"")</f>
        <v/>
      </c>
      <c r="AD25" s="14" t="str">
        <f ca="1">IFERROR(IF(ACCIONES[[#This Row],[REPLANTEO '#1]]&gt;TODAY(),1,""),"")</f>
        <v/>
      </c>
      <c r="AE25" s="14" t="str">
        <f ca="1">IFERROR(IF(ACCIONES[[#This Row],[REPLANTEO '#2 "Formato de replanteo"]]&gt;TODAY(),1,""),"")</f>
        <v/>
      </c>
      <c r="AF25" s="14" t="str">
        <f ca="1">IFERROR(IF(ACCIONES[[#This Row],[REPLANTEO '#3]]&gt;TODAY(),1,""),"")</f>
        <v/>
      </c>
      <c r="AG25" s="14" t="str">
        <f>IFERROR(IF(ACCIONES[[#This Row],[ESTATUS]]="CIERRE",1,""),"")</f>
        <v/>
      </c>
      <c r="AH25" s="14">
        <f>IFERROR(IF(ACCIONES[[#This Row],[ESTATUS]]="CERRADA",1,""),"")</f>
        <v>1</v>
      </c>
      <c r="AI25" s="14" t="str">
        <f>IF(ACCIONES[[#This Row],[ESTATUS]]="Abierta",COUNT(ACCIONES[[#This Row],[CÓDIGO 4 EN FECHA DE CIERRE ]:[CÓDIGO 9 ESTATUS CERRADA]]),"")</f>
        <v/>
      </c>
      <c r="AJ25" s="14" t="str" cm="1">
        <f t="array" aca="1" ref="AJ2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5" s="14" t="str" cm="1">
        <f t="array" aca="1" ref="AK2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5" s="14" t="str" cm="1">
        <f t="array" aca="1" ref="AL2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5" s="14" t="str" cm="1">
        <f t="array" aca="1" ref="AM2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5" s="14" t="b">
        <f ca="1">IFERROR(COUNTIF(ACCIONES[[#This Row],[CÓDIGO 11 POR VENCER FECHA CIERRE]:[CÓDIGO 14 FUERA DE REPLANTEO 3]],3)=1," ")</f>
        <v>0</v>
      </c>
      <c r="AO25" s="14">
        <f>IFERROR(VLOOKUP(ACCIONES[[#This Row],[DIRECCIÓN O GERENCIA]],AREAS[#All],3,0),"")</f>
        <v>0</v>
      </c>
    </row>
    <row r="26" spans="3:41" ht="42.75" hidden="1" customHeight="1">
      <c r="C26" s="71">
        <f>IF(ACCIONES[[#This Row],[FECHA DE APERTURA]]="","",YEAR(ACCIONES[[#This Row],[FECHA DE APERTURA]]))</f>
        <v>2025</v>
      </c>
      <c r="D26" s="71">
        <f t="shared" si="0"/>
        <v>25</v>
      </c>
      <c r="E26" s="71"/>
      <c r="F26" s="72">
        <f t="shared" si="1"/>
        <v>12</v>
      </c>
      <c r="G26" s="15" t="str">
        <f>IF(ACCIONES[[#This Row],[FECHA DE APERTURA]]="","",IF(ACCIONES[[#This Row],[Columna1]]="","AC#"&amp;ACCIONES[[#This Row],[foliox]]&amp;"\"&amp;YEAR(ACCIONES[[#This Row],[FECHA DE APERTURA]]),ACCIONES[[#This Row],[Columna1]]))</f>
        <v>AC#12\2025</v>
      </c>
      <c r="H26" s="17">
        <v>45685</v>
      </c>
      <c r="I26" s="94" t="s">
        <v>344</v>
      </c>
      <c r="J26" s="60">
        <v>45828</v>
      </c>
      <c r="K26" s="60"/>
      <c r="L26" s="60"/>
      <c r="M26" s="93"/>
      <c r="N26" s="58" t="s">
        <v>72</v>
      </c>
      <c r="O26" s="57" t="s">
        <v>218</v>
      </c>
      <c r="P26" s="21" t="s">
        <v>312</v>
      </c>
      <c r="Q26" s="18"/>
      <c r="R26" s="21" t="s">
        <v>158</v>
      </c>
      <c r="S26" s="59">
        <v>45767</v>
      </c>
      <c r="T26" s="59">
        <v>45772</v>
      </c>
      <c r="U26" s="72">
        <f>IF(ACCIONES[[#This Row],[Fecha Recibido]]="","",IF(NETWORKDAYS(ACCIONES[[#This Row],[Fecha entrega]],ACCIONES[[#This Row],[Fecha Recibido]])&lt;=5,1,0))</f>
        <v>1</v>
      </c>
      <c r="V26" s="72" t="str">
        <f>IF(ACCIONES[[#This Row],[Fecha entrega]]="","",TEXT(ACCIONES[[#This Row],[Fecha entrega]],"MMMM"))</f>
        <v>abril</v>
      </c>
      <c r="W26" s="72">
        <f>IF(ACCIONES[[#This Row],[Fecha entrega]]="","",YEAR(ACCIONES[[#This Row],[Fecha entrega]]))</f>
        <v>2025</v>
      </c>
      <c r="X26" s="14" t="str">
        <f>IF(ACCIONES[[#This Row],[Fecha Recibido]]="","",TEXT(ACCIONES[[#This Row],[Fecha Recibido]],"mmmm"))</f>
        <v>abril</v>
      </c>
      <c r="Y26" s="14">
        <f>IF(ACCIONES[[#This Row],[Fecha Recibido]]="","",YEAR(ACCIONES[[#This Row],[Fecha Recibido]]))</f>
        <v>2025</v>
      </c>
      <c r="Z26" s="93"/>
      <c r="AA26" s="93"/>
      <c r="AB26" s="169">
        <f>IF(ACCIONES[[#This Row],[ESTATUS]]="","",MAX(ACCIONES[[#This Row],[FECHA DE CIERRE]:[REPLANTEO '#2 "Formato de replanteo"]]))</f>
        <v>45828</v>
      </c>
      <c r="AC26" s="93"/>
      <c r="AD26" s="93"/>
      <c r="AE26" s="93"/>
      <c r="AF26" s="93"/>
      <c r="AG26" s="93"/>
      <c r="AH26" s="93"/>
      <c r="AI26" s="93" t="str">
        <f>IF(ACCIONES[[#This Row],[ESTATUS]]="Abierta",COUNT(ACCIONES[[#This Row],[CÓDIGO 4 EN FECHA DE CIERRE ]:[CÓDIGO 9 ESTATUS CERRADA]]),"")</f>
        <v/>
      </c>
      <c r="AJ26" s="93"/>
      <c r="AK26" s="93"/>
      <c r="AL26" s="93"/>
      <c r="AM26" s="93"/>
      <c r="AN26" s="93"/>
      <c r="AO26" s="14" t="str">
        <f>IFERROR(VLOOKUP(ACCIONES[[#This Row],[DIRECCIÓN O GERENCIA]],AREAS[#All],3,0),"")</f>
        <v>kbojorquez@oomapasc.gob.mx, proveedores@oomapasc.gob.mx, dgalarza@oomapasc.gob.mx</v>
      </c>
    </row>
    <row r="27" spans="3:41" ht="42" hidden="1">
      <c r="C27" s="71">
        <f>IF(ACCIONES[[#This Row],[FECHA DE APERTURA]]="","",YEAR(ACCIONES[[#This Row],[FECHA DE APERTURA]]))</f>
        <v>2025</v>
      </c>
      <c r="D27" s="71">
        <f t="shared" si="0"/>
        <v>26</v>
      </c>
      <c r="E27" s="71"/>
      <c r="F27" s="72">
        <f t="shared" si="1"/>
        <v>13</v>
      </c>
      <c r="G27" s="15" t="str">
        <f>IF(ACCIONES[[#This Row],[FECHA DE APERTURA]]="","",IF(ACCIONES[[#This Row],[Columna1]]="","AC#"&amp;ACCIONES[[#This Row],[foliox]]&amp;"\"&amp;YEAR(ACCIONES[[#This Row],[FECHA DE APERTURA]]),ACCIONES[[#This Row],[Columna1]]))</f>
        <v>AC#13\2025</v>
      </c>
      <c r="H27" s="17">
        <v>45684</v>
      </c>
      <c r="I27" s="18" t="s">
        <v>345</v>
      </c>
      <c r="J27" s="60">
        <v>45776</v>
      </c>
      <c r="K27" s="60">
        <v>45959</v>
      </c>
      <c r="L27" s="60">
        <v>45988</v>
      </c>
      <c r="M27" s="19"/>
      <c r="N27" s="58" t="s">
        <v>92</v>
      </c>
      <c r="O27" s="57" t="s">
        <v>218</v>
      </c>
      <c r="P27" s="21" t="s">
        <v>312</v>
      </c>
      <c r="Q27" s="18" t="s">
        <v>346</v>
      </c>
      <c r="R27" s="21" t="s">
        <v>169</v>
      </c>
      <c r="S27" s="59">
        <v>45992</v>
      </c>
      <c r="T27" s="59">
        <v>45993</v>
      </c>
      <c r="U27" s="72">
        <f>IF(ACCIONES[[#This Row],[Fecha Recibido]]="","",IF(NETWORKDAYS(ACCIONES[[#This Row],[Fecha entrega]],ACCIONES[[#This Row],[Fecha Recibido]])&lt;=5,1,0))</f>
        <v>1</v>
      </c>
      <c r="V27" s="72" t="str">
        <f>IF(ACCIONES[[#This Row],[Fecha entrega]]="","",TEXT(ACCIONES[[#This Row],[Fecha entrega]],"MMMM"))</f>
        <v>diciembre</v>
      </c>
      <c r="W27" s="72">
        <f>IF(ACCIONES[[#This Row],[Fecha entrega]]="","",YEAR(ACCIONES[[#This Row],[Fecha entrega]]))</f>
        <v>2025</v>
      </c>
      <c r="X27" s="14" t="str">
        <f>IF(ACCIONES[[#This Row],[Fecha Recibido]]="","",TEXT(ACCIONES[[#This Row],[Fecha Recibido]],"mmmm"))</f>
        <v>diciembre</v>
      </c>
      <c r="Y27" s="14">
        <f>IF(ACCIONES[[#This Row],[Fecha Recibido]]="","",YEAR(ACCIONES[[#This Row],[Fecha Recibido]]))</f>
        <v>2025</v>
      </c>
      <c r="Z27" s="14" t="str">
        <f>_xlfn.CONCAT(ACCIONES[[#This Row],[DIRECCIÓN O GERENCIA]],ACCIONES[[#This Row],[ORIGEN]])</f>
        <v>Suburbano TécnicoAuditoría Externa</v>
      </c>
      <c r="AA27" s="14" t="str">
        <f>_xlfn.CONCAT(ACCIONES[[#This Row],[DIRECCIÓN O GERENCIA]],ACCIONES[[#This Row],[ESTATUS]])</f>
        <v>Suburbano TécnicoCerrada</v>
      </c>
      <c r="AB27" s="168">
        <f>IF(ACCIONES[[#This Row],[ESTATUS]]="","",MAX(ACCIONES[[#This Row],[FECHA DE CIERRE]:[REPLANTEO '#2 "Formato de replanteo"]]))</f>
        <v>45988</v>
      </c>
      <c r="AC27" s="14" t="str">
        <f ca="1">IFERROR(IF(ACCIONES[[#This Row],[FECHA DE CIERRE]]&gt;TODAY(),1,""),"")</f>
        <v/>
      </c>
      <c r="AD27" s="14" t="str">
        <f ca="1">IFERROR(IF(ACCIONES[[#This Row],[REPLANTEO '#1]]&gt;TODAY(),1,""),"")</f>
        <v/>
      </c>
      <c r="AE27" s="14" t="str">
        <f ca="1">IFERROR(IF(ACCIONES[[#This Row],[REPLANTEO '#2 "Formato de replanteo"]]&gt;TODAY(),1,""),"")</f>
        <v/>
      </c>
      <c r="AF27" s="14" t="str">
        <f ca="1">IFERROR(IF(ACCIONES[[#This Row],[REPLANTEO '#3]]&gt;TODAY(),1,""),"")</f>
        <v/>
      </c>
      <c r="AG27" s="14" t="str">
        <f>IFERROR(IF(ACCIONES[[#This Row],[ESTATUS]]="CIERRE",1,""),"")</f>
        <v/>
      </c>
      <c r="AH27" s="14">
        <f>IFERROR(IF(ACCIONES[[#This Row],[ESTATUS]]="CERRADA",1,""),"")</f>
        <v>1</v>
      </c>
      <c r="AI27" s="14" t="str">
        <f>IF(ACCIONES[[#This Row],[ESTATUS]]="Abierta",COUNT(ACCIONES[[#This Row],[CÓDIGO 4 EN FECHA DE CIERRE ]:[CÓDIGO 9 ESTATUS CERRADA]]),"")</f>
        <v/>
      </c>
      <c r="AJ27" s="14" t="str" cm="1">
        <f t="array" aca="1" ref="AJ2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7" s="14" t="str" cm="1">
        <f t="array" aca="1" ref="AK2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7" s="14" t="str" cm="1">
        <f t="array" aca="1" ref="AL2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7" s="14" t="str" cm="1">
        <f t="array" aca="1" ref="AM2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7" s="14" t="b">
        <f ca="1">IFERROR(COUNTIF(ACCIONES[[#This Row],[CÓDIGO 11 POR VENCER FECHA CIERRE]:[CÓDIGO 14 FUERA DE REPLANTEO 3]],3)=1," ")</f>
        <v>0</v>
      </c>
      <c r="AO27" s="14" t="str">
        <f>IFERROR(VLOOKUP(ACCIONES[[#This Row],[DIRECCIÓN O GERENCIA]],AREAS[#All],3,0),"")</f>
        <v>mmendoza@oomapasc.gob.mx</v>
      </c>
    </row>
    <row r="28" spans="3:41" ht="82.5" customHeight="1">
      <c r="C28" s="71">
        <f>IF(ACCIONES[[#This Row],[FECHA DE APERTURA]]="","",YEAR(ACCIONES[[#This Row],[FECHA DE APERTURA]]))</f>
        <v>2025</v>
      </c>
      <c r="D28" s="71">
        <f t="shared" ref="D28:D29" si="4">D27+1</f>
        <v>27</v>
      </c>
      <c r="E28" s="71"/>
      <c r="F28" s="72">
        <f t="shared" si="1"/>
        <v>14</v>
      </c>
      <c r="G28" s="15" t="str">
        <f>IF(ACCIONES[[#This Row],[FECHA DE APERTURA]]="","",IF(ACCIONES[[#This Row],[Columna1]]="","AC#"&amp;ACCIONES[[#This Row],[foliox]]&amp;"\"&amp;YEAR(ACCIONES[[#This Row],[FECHA DE APERTURA]]),ACCIONES[[#This Row],[Columna1]]))</f>
        <v>AC#14\2025</v>
      </c>
      <c r="H28" s="17">
        <v>45793</v>
      </c>
      <c r="I28" s="18" t="s">
        <v>347</v>
      </c>
      <c r="J28" s="60">
        <v>46021</v>
      </c>
      <c r="K28" s="60">
        <v>46387</v>
      </c>
      <c r="L28" s="60"/>
      <c r="M28" s="19"/>
      <c r="N28" s="58" t="s">
        <v>7</v>
      </c>
      <c r="O28" s="57" t="s">
        <v>339</v>
      </c>
      <c r="P28" s="21" t="s">
        <v>299</v>
      </c>
      <c r="Q28" s="21"/>
      <c r="R28" s="21"/>
      <c r="S28" s="59"/>
      <c r="T28" s="59"/>
      <c r="U28" s="72" t="str">
        <f>IF(ACCIONES[[#This Row],[Fecha Recibido]]="","",IF(NETWORKDAYS(ACCIONES[[#This Row],[Fecha entrega]],ACCIONES[[#This Row],[Fecha Recibido]])&lt;=5,1,0))</f>
        <v/>
      </c>
      <c r="V28" s="72" t="str">
        <f>IF(ACCIONES[[#This Row],[Fecha entrega]]="","",TEXT(ACCIONES[[#This Row],[Fecha entrega]],"MMMM"))</f>
        <v/>
      </c>
      <c r="W28" s="72" t="str">
        <f>IF(ACCIONES[[#This Row],[Fecha entrega]]="","",YEAR(ACCIONES[[#This Row],[Fecha entrega]]))</f>
        <v/>
      </c>
      <c r="X28" s="14" t="str">
        <f>IF(ACCIONES[[#This Row],[Fecha Recibido]]="","",TEXT(ACCIONES[[#This Row],[Fecha Recibido]],"mmmm"))</f>
        <v/>
      </c>
      <c r="Y28" s="14" t="str">
        <f>IF(ACCIONES[[#This Row],[Fecha Recibido]]="","",YEAR(ACCIONES[[#This Row],[Fecha Recibido]]))</f>
        <v/>
      </c>
      <c r="Z28" s="14" t="str">
        <f>_xlfn.CONCAT(ACCIONES[[#This Row],[DIRECCIÓN O GERENCIA]],ACCIONES[[#This Row],[ORIGEN]])</f>
        <v>Mantenimiento de RedesIndicador</v>
      </c>
      <c r="AA28" s="14" t="str">
        <f>_xlfn.CONCAT(ACCIONES[[#This Row],[DIRECCIÓN O GERENCIA]],ACCIONES[[#This Row],[ESTATUS]])</f>
        <v>Mantenimiento de RedesAbierta</v>
      </c>
      <c r="AB28" s="168">
        <f>IF(ACCIONES[[#This Row],[ESTATUS]]="","",MAX(ACCIONES[[#This Row],[FECHA DE CIERRE]:[REPLANTEO '#2 "Formato de replanteo"]]))</f>
        <v>46387</v>
      </c>
      <c r="AC28" s="14" t="str">
        <f ca="1">IFERROR(IF(ACCIONES[[#This Row],[FECHA DE CIERRE]]&gt;TODAY(),1,""),"")</f>
        <v/>
      </c>
      <c r="AD28" s="14">
        <f ca="1">IFERROR(IF(ACCIONES[[#This Row],[REPLANTEO '#1]]&gt;TODAY(),1,""),"")</f>
        <v>1</v>
      </c>
      <c r="AE28" s="14" t="str">
        <f ca="1">IFERROR(IF(ACCIONES[[#This Row],[REPLANTEO '#2 "Formato de replanteo"]]&gt;TODAY(),1,""),"")</f>
        <v/>
      </c>
      <c r="AF28" s="14" t="str">
        <f ca="1">IFERROR(IF(ACCIONES[[#This Row],[REPLANTEO '#3]]&gt;TODAY(),1,""),"")</f>
        <v/>
      </c>
      <c r="AG28" s="14" t="str">
        <f>IFERROR(IF(ACCIONES[[#This Row],[ESTATUS]]="CIERRE",1,""),"")</f>
        <v/>
      </c>
      <c r="AH28" s="14" t="str">
        <f>IFERROR(IF(ACCIONES[[#This Row],[ESTATUS]]="CERRADA",1,""),"")</f>
        <v/>
      </c>
      <c r="AI28" s="14">
        <f ca="1">IF(ACCIONES[[#This Row],[ESTATUS]]="Abierta",COUNT(ACCIONES[[#This Row],[CÓDIGO 4 EN FECHA DE CIERRE ]:[CÓDIGO 9 ESTATUS CERRADA]]),"")</f>
        <v>1</v>
      </c>
      <c r="AJ28" s="14" t="str" cm="1">
        <f t="array" aca="1" ref="AJ2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8" s="14" cm="1">
        <f t="array" aca="1" ref="AK2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10</v>
      </c>
      <c r="AL28" s="14" t="str" cm="1">
        <f t="array" aca="1" ref="AL2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28" s="14" t="str" cm="1">
        <f t="array" aca="1" ref="AM2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8" s="14" t="b">
        <f ca="1">IFERROR(COUNTIF(ACCIONES[[#This Row],[CÓDIGO 11 POR VENCER FECHA CIERRE]:[CÓDIGO 14 FUERA DE REPLANTEO 3]],3)=1," ")</f>
        <v>0</v>
      </c>
      <c r="AO28" s="14" t="str">
        <f>IFERROR(VLOOKUP(ACCIONES[[#This Row],[DIRECCIÓN O GERENCIA]],AREAS[#All],3,0),"")</f>
        <v>mmontoya@oomapasc.gob.mx</v>
      </c>
    </row>
    <row r="29" spans="3:41" ht="92.25" customHeight="1">
      <c r="C29" s="71">
        <f>IF(ACCIONES[[#This Row],[FECHA DE APERTURA]]="","",YEAR(ACCIONES[[#This Row],[FECHA DE APERTURA]]))</f>
        <v>2025</v>
      </c>
      <c r="D29" s="71">
        <f t="shared" si="4"/>
        <v>28</v>
      </c>
      <c r="E29" s="71"/>
      <c r="F29" s="72">
        <f t="shared" si="1"/>
        <v>15</v>
      </c>
      <c r="G29" s="15" t="str">
        <f>IF(ACCIONES[[#This Row],[FECHA DE APERTURA]]="","",IF(ACCIONES[[#This Row],[Columna1]]="","AC#"&amp;ACCIONES[[#This Row],[foliox]]&amp;"\"&amp;YEAR(ACCIONES[[#This Row],[FECHA DE APERTURA]]),ACCIONES[[#This Row],[Columna1]]))</f>
        <v>AC#15\2025</v>
      </c>
      <c r="H29" s="17">
        <v>45839</v>
      </c>
      <c r="I29" s="18" t="s">
        <v>348</v>
      </c>
      <c r="J29" s="60">
        <v>45953</v>
      </c>
      <c r="K29" s="60">
        <v>46048</v>
      </c>
      <c r="L29" s="60">
        <v>46220</v>
      </c>
      <c r="M29" s="19"/>
      <c r="N29" s="58" t="s">
        <v>35</v>
      </c>
      <c r="O29" s="57" t="s">
        <v>339</v>
      </c>
      <c r="P29" s="21" t="s">
        <v>349</v>
      </c>
      <c r="Q29" s="21"/>
      <c r="R29" s="21"/>
      <c r="S29" s="59"/>
      <c r="T29" s="59"/>
      <c r="U29" s="72" t="str">
        <f>IF(ACCIONES[[#This Row],[Fecha Recibido]]="","",IF(NETWORKDAYS(ACCIONES[[#This Row],[Fecha entrega]],ACCIONES[[#This Row],[Fecha Recibido]])&lt;=5,1,0))</f>
        <v/>
      </c>
      <c r="V29" s="72" t="str">
        <f>IF(ACCIONES[[#This Row],[Fecha entrega]]="","",TEXT(ACCIONES[[#This Row],[Fecha entrega]],"MMMM"))</f>
        <v/>
      </c>
      <c r="W29" s="72" t="str">
        <f>IF(ACCIONES[[#This Row],[Fecha entrega]]="","",YEAR(ACCIONES[[#This Row],[Fecha entrega]]))</f>
        <v/>
      </c>
      <c r="X29" s="14" t="str">
        <f>IF(ACCIONES[[#This Row],[Fecha Recibido]]="","",TEXT(ACCIONES[[#This Row],[Fecha Recibido]],"mmmm"))</f>
        <v/>
      </c>
      <c r="Y29" s="14" t="str">
        <f>IF(ACCIONES[[#This Row],[Fecha Recibido]]="","",YEAR(ACCIONES[[#This Row],[Fecha Recibido]]))</f>
        <v/>
      </c>
      <c r="Z29" s="14" t="str">
        <f>_xlfn.CONCAT(ACCIONES[[#This Row],[DIRECCIÓN O GERENCIA]],ACCIONES[[#This Row],[ORIGEN]])</f>
        <v>Sistema de Gestión de CalidadAuditoría #3</v>
      </c>
      <c r="AA29" s="14" t="str">
        <f>_xlfn.CONCAT(ACCIONES[[#This Row],[DIRECCIÓN O GERENCIA]],ACCIONES[[#This Row],[ESTATUS]])</f>
        <v>Sistema de Gestión de CalidadAbierta</v>
      </c>
      <c r="AB29" s="168">
        <f>IF(ACCIONES[[#This Row],[ESTATUS]]="","",MAX(ACCIONES[[#This Row],[FECHA DE CIERRE]:[REPLANTEO '#2 "Formato de replanteo"]]))</f>
        <v>46220</v>
      </c>
      <c r="AC29" s="14" t="str">
        <f ca="1">IFERROR(IF(ACCIONES[[#This Row],[FECHA DE CIERRE]]&gt;TODAY(),1,""),"")</f>
        <v/>
      </c>
      <c r="AD29" s="14" t="str">
        <f ca="1">IFERROR(IF(ACCIONES[[#This Row],[REPLANTEO '#1]]&gt;TODAY(),1,""),"")</f>
        <v/>
      </c>
      <c r="AE29" s="14">
        <f ca="1">IFERROR(IF(ACCIONES[[#This Row],[REPLANTEO '#2 "Formato de replanteo"]]&gt;TODAY(),1,""),"")</f>
        <v>1</v>
      </c>
      <c r="AF29" s="14" t="str">
        <f ca="1">IFERROR(IF(ACCIONES[[#This Row],[REPLANTEO '#3]]&gt;TODAY(),1,""),"")</f>
        <v/>
      </c>
      <c r="AG29" s="14" t="str">
        <f>IFERROR(IF(ACCIONES[[#This Row],[ESTATUS]]="CIERRE",1,""),"")</f>
        <v/>
      </c>
      <c r="AH29" s="14" t="str">
        <f>IFERROR(IF(ACCIONES[[#This Row],[ESTATUS]]="CERRADA",1,""),"")</f>
        <v/>
      </c>
      <c r="AI29" s="14">
        <f ca="1">IF(ACCIONES[[#This Row],[ESTATUS]]="Abierta",COUNT(ACCIONES[[#This Row],[CÓDIGO 4 EN FECHA DE CIERRE ]:[CÓDIGO 9 ESTATUS CERRADA]]),"")</f>
        <v>1</v>
      </c>
      <c r="AJ29" s="14" t="str" cm="1">
        <f t="array" aca="1" ref="AJ2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29" s="14" t="str" cm="1">
        <f t="array" aca="1" ref="AK2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29" s="14" cm="1">
        <f t="array" aca="1" ref="AL2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10</v>
      </c>
      <c r="AM29" s="14" t="str" cm="1">
        <f t="array" aca="1" ref="AM2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29" s="14" t="b">
        <f ca="1">IFERROR(COUNTIF(ACCIONES[[#This Row],[CÓDIGO 11 POR VENCER FECHA CIERRE]:[CÓDIGO 14 FUERA DE REPLANTEO 3]],3)=1," ")</f>
        <v>0</v>
      </c>
      <c r="AO29" s="14">
        <f>IFERROR(VLOOKUP(ACCIONES[[#This Row],[DIRECCIÓN O GERENCIA]],AREAS[#All],3,0),"")</f>
        <v>0</v>
      </c>
    </row>
    <row r="30" spans="3:41" ht="52.5" hidden="1">
      <c r="C30" s="71">
        <f>IF(ACCIONES[[#This Row],[FECHA DE APERTURA]]="","",YEAR(ACCIONES[[#This Row],[FECHA DE APERTURA]]))</f>
        <v>2025</v>
      </c>
      <c r="D30" s="71">
        <f t="shared" si="0"/>
        <v>29</v>
      </c>
      <c r="E30" s="71"/>
      <c r="F30" s="72">
        <f t="shared" si="1"/>
        <v>16</v>
      </c>
      <c r="G30" s="15" t="str">
        <f>IF(ACCIONES[[#This Row],[FECHA DE APERTURA]]="","",IF(ACCIONES[[#This Row],[Columna1]]="","AC#"&amp;ACCIONES[[#This Row],[foliox]]&amp;"\"&amp;YEAR(ACCIONES[[#This Row],[FECHA DE APERTURA]]),ACCIONES[[#This Row],[Columna1]]))</f>
        <v>AC#16\2025</v>
      </c>
      <c r="H30" s="17">
        <v>45832</v>
      </c>
      <c r="I30" s="18" t="s">
        <v>350</v>
      </c>
      <c r="J30" s="60">
        <v>45869</v>
      </c>
      <c r="K30" s="60"/>
      <c r="L30" s="60"/>
      <c r="M30" s="19"/>
      <c r="N30" s="58" t="s">
        <v>35</v>
      </c>
      <c r="O30" s="57" t="s">
        <v>218</v>
      </c>
      <c r="P30" s="21" t="s">
        <v>307</v>
      </c>
      <c r="Q30" s="21"/>
      <c r="R30" s="21" t="s">
        <v>174</v>
      </c>
      <c r="S30" s="21" t="s">
        <v>351</v>
      </c>
      <c r="T30" s="21" t="s">
        <v>351</v>
      </c>
      <c r="U30" s="72">
        <f>IF(ACCIONES[[#This Row],[Fecha Recibido]]="","",IF(NETWORKDAYS(ACCIONES[[#This Row],[Fecha entrega]],ACCIONES[[#This Row],[Fecha Recibido]])&lt;=5,1,0))</f>
        <v>1</v>
      </c>
      <c r="V30" s="72" t="str">
        <f>IF(ACCIONES[[#This Row],[Fecha entrega]]="","",TEXT(ACCIONES[[#This Row],[Fecha entrega]],"MMMM"))</f>
        <v>agosto</v>
      </c>
      <c r="W30" s="72">
        <f>IF(ACCIONES[[#This Row],[Fecha entrega]]="","",YEAR(ACCIONES[[#This Row],[Fecha entrega]]))</f>
        <v>2025</v>
      </c>
      <c r="X30" s="14" t="str">
        <f>IF(ACCIONES[[#This Row],[Fecha Recibido]]="","",TEXT(ACCIONES[[#This Row],[Fecha Recibido]],"mmmm"))</f>
        <v>agosto</v>
      </c>
      <c r="Y30" s="14">
        <f>IF(ACCIONES[[#This Row],[Fecha Recibido]]="","",YEAR(ACCIONES[[#This Row],[Fecha Recibido]]))</f>
        <v>2025</v>
      </c>
      <c r="Z30" s="14" t="str">
        <f>_xlfn.CONCAT(ACCIONES[[#This Row],[DIRECCIÓN O GERENCIA]],ACCIONES[[#This Row],[ORIGEN]])</f>
        <v>Sistema de Gestión de CalidadAuditoría #4</v>
      </c>
      <c r="AA30" s="14" t="str">
        <f>_xlfn.CONCAT(ACCIONES[[#This Row],[DIRECCIÓN O GERENCIA]],ACCIONES[[#This Row],[ESTATUS]])</f>
        <v>Sistema de Gestión de CalidadCerrada</v>
      </c>
      <c r="AB30" s="168">
        <f>IF(ACCIONES[[#This Row],[ESTATUS]]="","",MAX(ACCIONES[[#This Row],[FECHA DE CIERRE]:[REPLANTEO '#2 "Formato de replanteo"]]))</f>
        <v>45869</v>
      </c>
      <c r="AC30" s="14" t="str">
        <f ca="1">IFERROR(IF(ACCIONES[[#This Row],[FECHA DE CIERRE]]&gt;TODAY(),1,""),"")</f>
        <v/>
      </c>
      <c r="AD30" s="14" t="str">
        <f ca="1">IFERROR(IF(ACCIONES[[#This Row],[REPLANTEO '#1]]&gt;TODAY(),1,""),"")</f>
        <v/>
      </c>
      <c r="AE30" s="14" t="str">
        <f ca="1">IFERROR(IF(ACCIONES[[#This Row],[REPLANTEO '#2 "Formato de replanteo"]]&gt;TODAY(),1,""),"")</f>
        <v/>
      </c>
      <c r="AF30" s="14" t="str">
        <f ca="1">IFERROR(IF(ACCIONES[[#This Row],[REPLANTEO '#3]]&gt;TODAY(),1,""),"")</f>
        <v/>
      </c>
      <c r="AG30" s="14" t="str">
        <f>IFERROR(IF(ACCIONES[[#This Row],[ESTATUS]]="CIERRE",1,""),"")</f>
        <v/>
      </c>
      <c r="AH30" s="14">
        <f>IFERROR(IF(ACCIONES[[#This Row],[ESTATUS]]="CERRADA",1,""),"")</f>
        <v>1</v>
      </c>
      <c r="AI30" s="14" t="str">
        <f>IF(ACCIONES[[#This Row],[ESTATUS]]="Abierta",COUNT(ACCIONES[[#This Row],[CÓDIGO 4 EN FECHA DE CIERRE ]:[CÓDIGO 9 ESTATUS CERRADA]]),"")</f>
        <v/>
      </c>
      <c r="AJ30" s="14" t="str" cm="1">
        <f t="array" aca="1" ref="AJ3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0" s="14" t="str" cm="1">
        <f t="array" aca="1" ref="AK3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0" s="14" t="str" cm="1">
        <f t="array" aca="1" ref="AL3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0" s="14" t="str" cm="1">
        <f t="array" aca="1" ref="AM3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0" s="14" t="b">
        <f ca="1">IFERROR(COUNTIF(ACCIONES[[#This Row],[CÓDIGO 11 POR VENCER FECHA CIERRE]:[CÓDIGO 14 FUERA DE REPLANTEO 3]],3)=1," ")</f>
        <v>0</v>
      </c>
      <c r="AO30" s="14">
        <f>IFERROR(VLOOKUP(ACCIONES[[#This Row],[DIRECCIÓN O GERENCIA]],AREAS[#All],3,0),"")</f>
        <v>0</v>
      </c>
    </row>
    <row r="31" spans="3:41" ht="63">
      <c r="C31" s="71">
        <f>IF(ACCIONES[[#This Row],[FECHA DE APERTURA]]="","",YEAR(ACCIONES[[#This Row],[FECHA DE APERTURA]]))</f>
        <v>2025</v>
      </c>
      <c r="D31" s="71">
        <f>D30+1</f>
        <v>30</v>
      </c>
      <c r="E31" s="71"/>
      <c r="F31" s="72">
        <f t="shared" si="1"/>
        <v>17</v>
      </c>
      <c r="G31" s="15" t="str">
        <f>IF(ACCIONES[[#This Row],[FECHA DE APERTURA]]="","",IF(ACCIONES[[#This Row],[Columna1]]="","AC#"&amp;ACCIONES[[#This Row],[foliox]]&amp;"\"&amp;YEAR(ACCIONES[[#This Row],[FECHA DE APERTURA]]),ACCIONES[[#This Row],[Columna1]]))</f>
        <v>AC#17\2025</v>
      </c>
      <c r="H31" s="17">
        <v>45868</v>
      </c>
      <c r="I31" s="18" t="s">
        <v>352</v>
      </c>
      <c r="J31" s="60">
        <v>46171</v>
      </c>
      <c r="K31" s="60"/>
      <c r="L31" s="60"/>
      <c r="M31" s="19"/>
      <c r="N31" s="58" t="s">
        <v>19</v>
      </c>
      <c r="O31" s="57" t="s">
        <v>339</v>
      </c>
      <c r="P31" s="21" t="s">
        <v>299</v>
      </c>
      <c r="Q31" s="21"/>
      <c r="R31" s="21"/>
      <c r="S31" s="59"/>
      <c r="T31" s="59"/>
      <c r="U31" s="72" t="str">
        <f>IF(ACCIONES[[#This Row],[Fecha Recibido]]="","",IF(NETWORKDAYS(ACCIONES[[#This Row],[Fecha entrega]],ACCIONES[[#This Row],[Fecha Recibido]])&lt;=5,1,0))</f>
        <v/>
      </c>
      <c r="V31" s="72" t="str">
        <f>IF(ACCIONES[[#This Row],[Fecha entrega]]="","",TEXT(ACCIONES[[#This Row],[Fecha entrega]],"MMMM"))</f>
        <v/>
      </c>
      <c r="W31" s="72" t="str">
        <f>IF(ACCIONES[[#This Row],[Fecha entrega]]="","",YEAR(ACCIONES[[#This Row],[Fecha entrega]]))</f>
        <v/>
      </c>
      <c r="X31" s="14" t="str">
        <f>IF(ACCIONES[[#This Row],[Fecha Recibido]]="","",TEXT(ACCIONES[[#This Row],[Fecha Recibido]],"mmmm"))</f>
        <v/>
      </c>
      <c r="Y31" s="14" t="str">
        <f>IF(ACCIONES[[#This Row],[Fecha Recibido]]="","",YEAR(ACCIONES[[#This Row],[Fecha Recibido]]))</f>
        <v/>
      </c>
      <c r="Z31" s="14" t="str">
        <f>_xlfn.CONCAT(ACCIONES[[#This Row],[DIRECCIÓN O GERENCIA]],ACCIONES[[#This Row],[ORIGEN]])</f>
        <v>Plantas PotabilizadorasIndicador</v>
      </c>
      <c r="AA31" s="14" t="str">
        <f>_xlfn.CONCAT(ACCIONES[[#This Row],[DIRECCIÓN O GERENCIA]],ACCIONES[[#This Row],[ESTATUS]])</f>
        <v>Plantas PotabilizadorasAbierta</v>
      </c>
      <c r="AB31" s="168">
        <f>IF(ACCIONES[[#This Row],[ESTATUS]]="","",MAX(ACCIONES[[#This Row],[FECHA DE CIERRE]:[REPLANTEO '#2 "Formato de replanteo"]]))</f>
        <v>46171</v>
      </c>
      <c r="AC31" s="14">
        <f ca="1">IFERROR(IF(ACCIONES[[#This Row],[FECHA DE CIERRE]]&gt;TODAY(),1,""),"")</f>
        <v>1</v>
      </c>
      <c r="AD31" s="14" t="str">
        <f ca="1">IFERROR(IF(ACCIONES[[#This Row],[REPLANTEO '#1]]&gt;TODAY(),1,""),"")</f>
        <v/>
      </c>
      <c r="AE31" s="14" t="str">
        <f ca="1">IFERROR(IF(ACCIONES[[#This Row],[REPLANTEO '#2 "Formato de replanteo"]]&gt;TODAY(),1,""),"")</f>
        <v/>
      </c>
      <c r="AF31" s="14" t="str">
        <f ca="1">IFERROR(IF(ACCIONES[[#This Row],[REPLANTEO '#3]]&gt;TODAY(),1,""),"")</f>
        <v/>
      </c>
      <c r="AG31" s="14" t="str">
        <f>IFERROR(IF(ACCIONES[[#This Row],[ESTATUS]]="CIERRE",1,""),"")</f>
        <v/>
      </c>
      <c r="AH31" s="14" t="str">
        <f>IFERROR(IF(ACCIONES[[#This Row],[ESTATUS]]="CERRADA",1,""),"")</f>
        <v/>
      </c>
      <c r="AI31" s="14">
        <f ca="1">IF(ACCIONES[[#This Row],[ESTATUS]]="Abierta",COUNT(ACCIONES[[#This Row],[CÓDIGO 4 EN FECHA DE CIERRE ]:[CÓDIGO 9 ESTATUS CERRADA]]),"")</f>
        <v>1</v>
      </c>
      <c r="AJ31" s="14" cm="1">
        <f t="array" aca="1" ref="AJ3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31" s="14" t="str" cm="1">
        <f t="array" aca="1" ref="AK3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1" s="14" t="str" cm="1">
        <f t="array" aca="1" ref="AL3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1" s="14" t="str" cm="1">
        <f t="array" aca="1" ref="AM3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1" s="14" t="b">
        <f ca="1">IFERROR(COUNTIF(ACCIONES[[#This Row],[CÓDIGO 11 POR VENCER FECHA CIERRE]:[CÓDIGO 14 FUERA DE REPLANTEO 3]],3)=1," ")</f>
        <v>0</v>
      </c>
      <c r="AO31" s="14" t="str">
        <f>IFERROR(VLOOKUP(ACCIONES[[#This Row],[DIRECCIÓN O GERENCIA]],AREAS[#All],3,0),"")</f>
        <v>jaenriquez@oomapasc.gob.mx, agalvez@oomapasc.gob.mx</v>
      </c>
    </row>
    <row r="32" spans="3:41" ht="63" hidden="1">
      <c r="C32" s="71">
        <f>IF(ACCIONES[[#This Row],[FECHA DE APERTURA]]="","",YEAR(ACCIONES[[#This Row],[FECHA DE APERTURA]]))</f>
        <v>2025</v>
      </c>
      <c r="D32" s="71">
        <f t="shared" si="0"/>
        <v>31</v>
      </c>
      <c r="E32" s="71"/>
      <c r="F32" s="72">
        <f t="shared" si="1"/>
        <v>18</v>
      </c>
      <c r="G32" s="15" t="str">
        <f>IF(ACCIONES[[#This Row],[FECHA DE APERTURA]]="","",IF(ACCIONES[[#This Row],[Columna1]]="","AC#"&amp;ACCIONES[[#This Row],[foliox]]&amp;"\"&amp;YEAR(ACCIONES[[#This Row],[FECHA DE APERTURA]]),ACCIONES[[#This Row],[Columna1]]))</f>
        <v>AC#18\2025</v>
      </c>
      <c r="H32" s="17">
        <v>45834</v>
      </c>
      <c r="I32" s="18" t="s">
        <v>353</v>
      </c>
      <c r="J32" s="60">
        <v>45869</v>
      </c>
      <c r="K32" s="60">
        <v>46022</v>
      </c>
      <c r="L32" s="60"/>
      <c r="M32" s="19"/>
      <c r="N32" s="58" t="s">
        <v>7</v>
      </c>
      <c r="O32" s="57" t="s">
        <v>218</v>
      </c>
      <c r="P32" s="21" t="s">
        <v>349</v>
      </c>
      <c r="Q32" s="21"/>
      <c r="R32" s="21" t="s">
        <v>171</v>
      </c>
      <c r="S32" s="21"/>
      <c r="T32" s="21"/>
      <c r="U32" s="72" t="str">
        <f>IF(ACCIONES[[#This Row],[Fecha Recibido]]="","",IF(NETWORKDAYS(ACCIONES[[#This Row],[Fecha entrega]],ACCIONES[[#This Row],[Fecha Recibido]])&lt;=5,1,0))</f>
        <v/>
      </c>
      <c r="V32" s="72" t="str">
        <f>IF(ACCIONES[[#This Row],[Fecha entrega]]="","",TEXT(ACCIONES[[#This Row],[Fecha entrega]],"MMMM"))</f>
        <v/>
      </c>
      <c r="W32" s="72" t="str">
        <f>IF(ACCIONES[[#This Row],[Fecha entrega]]="","",YEAR(ACCIONES[[#This Row],[Fecha entrega]]))</f>
        <v/>
      </c>
      <c r="X32" s="14" t="str">
        <f>IF(ACCIONES[[#This Row],[Fecha Recibido]]="","",TEXT(ACCIONES[[#This Row],[Fecha Recibido]],"mmmm"))</f>
        <v/>
      </c>
      <c r="Y32" s="14" t="str">
        <f>IF(ACCIONES[[#This Row],[Fecha Recibido]]="","",YEAR(ACCIONES[[#This Row],[Fecha Recibido]]))</f>
        <v/>
      </c>
      <c r="Z32" s="14" t="str">
        <f>_xlfn.CONCAT(ACCIONES[[#This Row],[DIRECCIÓN O GERENCIA]],ACCIONES[[#This Row],[ORIGEN]])</f>
        <v>Mantenimiento de RedesAuditoría #3</v>
      </c>
      <c r="AA32" s="14" t="str">
        <f>_xlfn.CONCAT(ACCIONES[[#This Row],[DIRECCIÓN O GERENCIA]],ACCIONES[[#This Row],[ESTATUS]])</f>
        <v>Mantenimiento de RedesCerrada</v>
      </c>
      <c r="AB32" s="168">
        <f>IF(ACCIONES[[#This Row],[ESTATUS]]="","",MAX(ACCIONES[[#This Row],[FECHA DE CIERRE]:[REPLANTEO '#2 "Formato de replanteo"]]))</f>
        <v>46022</v>
      </c>
      <c r="AC32" s="14" t="str">
        <f ca="1">IFERROR(IF(ACCIONES[[#This Row],[FECHA DE CIERRE]]&gt;TODAY(),1,""),"")</f>
        <v/>
      </c>
      <c r="AD32" s="14" t="str">
        <f ca="1">IFERROR(IF(ACCIONES[[#This Row],[REPLANTEO '#1]]&gt;TODAY(),1,""),"")</f>
        <v/>
      </c>
      <c r="AE32" s="14" t="str">
        <f ca="1">IFERROR(IF(ACCIONES[[#This Row],[REPLANTEO '#2 "Formato de replanteo"]]&gt;TODAY(),1,""),"")</f>
        <v/>
      </c>
      <c r="AF32" s="14" t="str">
        <f ca="1">IFERROR(IF(ACCIONES[[#This Row],[REPLANTEO '#3]]&gt;TODAY(),1,""),"")</f>
        <v/>
      </c>
      <c r="AG32" s="14" t="str">
        <f>IFERROR(IF(ACCIONES[[#This Row],[ESTATUS]]="CIERRE",1,""),"")</f>
        <v/>
      </c>
      <c r="AH32" s="14">
        <f>IFERROR(IF(ACCIONES[[#This Row],[ESTATUS]]="CERRADA",1,""),"")</f>
        <v>1</v>
      </c>
      <c r="AI32" s="14" t="str">
        <f>IF(ACCIONES[[#This Row],[ESTATUS]]="Abierta",COUNT(ACCIONES[[#This Row],[CÓDIGO 4 EN FECHA DE CIERRE ]:[CÓDIGO 9 ESTATUS CERRADA]]),"")</f>
        <v/>
      </c>
      <c r="AJ32" s="14" t="str" cm="1">
        <f t="array" aca="1" ref="AJ3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2" s="14" t="str" cm="1">
        <f t="array" aca="1" ref="AK3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2" s="14" t="str" cm="1">
        <f t="array" aca="1" ref="AL3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2" s="14" t="str" cm="1">
        <f t="array" aca="1" ref="AM3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2" s="14" t="b">
        <f ca="1">IFERROR(COUNTIF(ACCIONES[[#This Row],[CÓDIGO 11 POR VENCER FECHA CIERRE]:[CÓDIGO 14 FUERA DE REPLANTEO 3]],3)=1," ")</f>
        <v>0</v>
      </c>
      <c r="AO32" s="14" t="str">
        <f>IFERROR(VLOOKUP(ACCIONES[[#This Row],[DIRECCIÓN O GERENCIA]],AREAS[#All],3,0),"")</f>
        <v>mmontoya@oomapasc.gob.mx</v>
      </c>
    </row>
    <row r="33" spans="3:41" ht="52.5" hidden="1">
      <c r="C33" s="71">
        <f>IF(ACCIONES[[#This Row],[FECHA DE APERTURA]]="","",YEAR(ACCIONES[[#This Row],[FECHA DE APERTURA]]))</f>
        <v>2025</v>
      </c>
      <c r="D33" s="71">
        <f t="shared" si="0"/>
        <v>32</v>
      </c>
      <c r="E33" s="71"/>
      <c r="F33" s="72">
        <f t="shared" si="1"/>
        <v>19</v>
      </c>
      <c r="G33" s="15" t="str">
        <f>IF(ACCIONES[[#This Row],[FECHA DE APERTURA]]="","",IF(ACCIONES[[#This Row],[Columna1]]="","AC#"&amp;ACCIONES[[#This Row],[foliox]]&amp;"\"&amp;YEAR(ACCIONES[[#This Row],[FECHA DE APERTURA]]),ACCIONES[[#This Row],[Columna1]]))</f>
        <v>AC#19\2025</v>
      </c>
      <c r="H33" s="17">
        <v>45834</v>
      </c>
      <c r="I33" s="18" t="s">
        <v>354</v>
      </c>
      <c r="J33" s="60">
        <v>45869</v>
      </c>
      <c r="K33" s="60">
        <v>46022</v>
      </c>
      <c r="L33" s="60"/>
      <c r="M33" s="19"/>
      <c r="N33" s="58" t="s">
        <v>7</v>
      </c>
      <c r="O33" s="57" t="s">
        <v>218</v>
      </c>
      <c r="P33" s="21" t="s">
        <v>349</v>
      </c>
      <c r="Q33" s="21"/>
      <c r="R33" s="21" t="s">
        <v>171</v>
      </c>
      <c r="S33" s="21"/>
      <c r="T33" s="21"/>
      <c r="U33" s="72" t="str">
        <f>IF(ACCIONES[[#This Row],[Fecha Recibido]]="","",IF(NETWORKDAYS(ACCIONES[[#This Row],[Fecha entrega]],ACCIONES[[#This Row],[Fecha Recibido]])&lt;=5,1,0))</f>
        <v/>
      </c>
      <c r="V33" s="72" t="str">
        <f>IF(ACCIONES[[#This Row],[Fecha entrega]]="","",TEXT(ACCIONES[[#This Row],[Fecha entrega]],"MMMM"))</f>
        <v/>
      </c>
      <c r="W33" s="72" t="str">
        <f>IF(ACCIONES[[#This Row],[Fecha entrega]]="","",YEAR(ACCIONES[[#This Row],[Fecha entrega]]))</f>
        <v/>
      </c>
      <c r="X33" s="14" t="str">
        <f>IF(ACCIONES[[#This Row],[Fecha Recibido]]="","",TEXT(ACCIONES[[#This Row],[Fecha Recibido]],"mmmm"))</f>
        <v/>
      </c>
      <c r="Y33" s="14" t="str">
        <f>IF(ACCIONES[[#This Row],[Fecha Recibido]]="","",YEAR(ACCIONES[[#This Row],[Fecha Recibido]]))</f>
        <v/>
      </c>
      <c r="Z33" s="14" t="str">
        <f>_xlfn.CONCAT(ACCIONES[[#This Row],[DIRECCIÓN O GERENCIA]],ACCIONES[[#This Row],[ORIGEN]])</f>
        <v>Mantenimiento de RedesAuditoría #3</v>
      </c>
      <c r="AA33" s="14" t="str">
        <f>_xlfn.CONCAT(ACCIONES[[#This Row],[DIRECCIÓN O GERENCIA]],ACCIONES[[#This Row],[ESTATUS]])</f>
        <v>Mantenimiento de RedesCerrada</v>
      </c>
      <c r="AB33" s="168">
        <f>IF(ACCIONES[[#This Row],[ESTATUS]]="","",MAX(ACCIONES[[#This Row],[FECHA DE CIERRE]:[REPLANTEO '#2 "Formato de replanteo"]]))</f>
        <v>46022</v>
      </c>
      <c r="AC33" s="14" t="str">
        <f ca="1">IFERROR(IF(ACCIONES[[#This Row],[FECHA DE CIERRE]]&gt;TODAY(),1,""),"")</f>
        <v/>
      </c>
      <c r="AD33" s="14" t="str">
        <f ca="1">IFERROR(IF(ACCIONES[[#This Row],[REPLANTEO '#1]]&gt;TODAY(),1,""),"")</f>
        <v/>
      </c>
      <c r="AE33" s="14" t="str">
        <f ca="1">IFERROR(IF(ACCIONES[[#This Row],[REPLANTEO '#2 "Formato de replanteo"]]&gt;TODAY(),1,""),"")</f>
        <v/>
      </c>
      <c r="AF33" s="14" t="str">
        <f ca="1">IFERROR(IF(ACCIONES[[#This Row],[REPLANTEO '#3]]&gt;TODAY(),1,""),"")</f>
        <v/>
      </c>
      <c r="AG33" s="14" t="str">
        <f>IFERROR(IF(ACCIONES[[#This Row],[ESTATUS]]="CIERRE",1,""),"")</f>
        <v/>
      </c>
      <c r="AH33" s="14">
        <f>IFERROR(IF(ACCIONES[[#This Row],[ESTATUS]]="CERRADA",1,""),"")</f>
        <v>1</v>
      </c>
      <c r="AI33" s="14" t="str">
        <f>IF(ACCIONES[[#This Row],[ESTATUS]]="Abierta",COUNT(ACCIONES[[#This Row],[CÓDIGO 4 EN FECHA DE CIERRE ]:[CÓDIGO 9 ESTATUS CERRADA]]),"")</f>
        <v/>
      </c>
      <c r="AJ33" s="14" t="str" cm="1">
        <f t="array" aca="1" ref="AJ3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3" s="14" t="str" cm="1">
        <f t="array" aca="1" ref="AK3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3" s="14" t="str" cm="1">
        <f t="array" aca="1" ref="AL3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3" s="14" t="str" cm="1">
        <f t="array" aca="1" ref="AM3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3" s="14" t="b">
        <f ca="1">IFERROR(COUNTIF(ACCIONES[[#This Row],[CÓDIGO 11 POR VENCER FECHA CIERRE]:[CÓDIGO 14 FUERA DE REPLANTEO 3]],3)=1," ")</f>
        <v>0</v>
      </c>
      <c r="AO33" s="14" t="str">
        <f>IFERROR(VLOOKUP(ACCIONES[[#This Row],[DIRECCIÓN O GERENCIA]],AREAS[#All],3,0),"")</f>
        <v>mmontoya@oomapasc.gob.mx</v>
      </c>
    </row>
    <row r="34" spans="3:41" ht="115.5">
      <c r="C34" s="71">
        <f>IF(ACCIONES[[#This Row],[FECHA DE APERTURA]]="","",YEAR(ACCIONES[[#This Row],[FECHA DE APERTURA]]))</f>
        <v>2025</v>
      </c>
      <c r="D34" s="71">
        <f t="shared" ref="D34:D35" si="5">D33+1</f>
        <v>33</v>
      </c>
      <c r="E34" s="71"/>
      <c r="F34" s="72">
        <f t="shared" si="1"/>
        <v>20</v>
      </c>
      <c r="G34" s="15" t="str">
        <f>IF(ACCIONES[[#This Row],[FECHA DE APERTURA]]="","",IF(ACCIONES[[#This Row],[Columna1]]="","AC#"&amp;ACCIONES[[#This Row],[foliox]]&amp;"\"&amp;YEAR(ACCIONES[[#This Row],[FECHA DE APERTURA]]),ACCIONES[[#This Row],[Columna1]]))</f>
        <v>AC#20\2025</v>
      </c>
      <c r="H34" s="17">
        <v>45828</v>
      </c>
      <c r="I34" s="18" t="s">
        <v>355</v>
      </c>
      <c r="J34" s="60">
        <v>45884</v>
      </c>
      <c r="K34" s="60">
        <v>46020</v>
      </c>
      <c r="L34" s="60">
        <v>46203</v>
      </c>
      <c r="M34" s="19"/>
      <c r="N34" s="58" t="s">
        <v>19</v>
      </c>
      <c r="O34" s="57" t="s">
        <v>339</v>
      </c>
      <c r="P34" s="21" t="s">
        <v>349</v>
      </c>
      <c r="Q34" s="21"/>
      <c r="R34" s="21"/>
      <c r="S34" s="59"/>
      <c r="T34" s="59"/>
      <c r="U34" s="72" t="str">
        <f>IF(ACCIONES[[#This Row],[Fecha Recibido]]="","",IF(NETWORKDAYS(ACCIONES[[#This Row],[Fecha entrega]],ACCIONES[[#This Row],[Fecha Recibido]])&lt;=5,1,0))</f>
        <v/>
      </c>
      <c r="V34" s="72" t="str">
        <f>IF(ACCIONES[[#This Row],[Fecha entrega]]="","",TEXT(ACCIONES[[#This Row],[Fecha entrega]],"MMMM"))</f>
        <v/>
      </c>
      <c r="W34" s="72" t="str">
        <f>IF(ACCIONES[[#This Row],[Fecha entrega]]="","",YEAR(ACCIONES[[#This Row],[Fecha entrega]]))</f>
        <v/>
      </c>
      <c r="X34" s="14" t="str">
        <f>IF(ACCIONES[[#This Row],[Fecha Recibido]]="","",TEXT(ACCIONES[[#This Row],[Fecha Recibido]],"mmmm"))</f>
        <v/>
      </c>
      <c r="Y34" s="14" t="str">
        <f>IF(ACCIONES[[#This Row],[Fecha Recibido]]="","",YEAR(ACCIONES[[#This Row],[Fecha Recibido]]))</f>
        <v/>
      </c>
      <c r="Z34" s="14" t="str">
        <f>_xlfn.CONCAT(ACCIONES[[#This Row],[DIRECCIÓN O GERENCIA]],ACCIONES[[#This Row],[ORIGEN]])</f>
        <v>Plantas PotabilizadorasAuditoría #3</v>
      </c>
      <c r="AA34" s="14" t="str">
        <f>_xlfn.CONCAT(ACCIONES[[#This Row],[DIRECCIÓN O GERENCIA]],ACCIONES[[#This Row],[ESTATUS]])</f>
        <v>Plantas PotabilizadorasAbierta</v>
      </c>
      <c r="AB34" s="168">
        <f>IF(ACCIONES[[#This Row],[ESTATUS]]="","",MAX(ACCIONES[[#This Row],[FECHA DE CIERRE]:[REPLANTEO '#2 "Formato de replanteo"]]))</f>
        <v>46203</v>
      </c>
      <c r="AC34" s="14" t="str">
        <f ca="1">IFERROR(IF(ACCIONES[[#This Row],[FECHA DE CIERRE]]&gt;TODAY(),1,""),"")</f>
        <v/>
      </c>
      <c r="AD34" s="14" t="str">
        <f ca="1">IFERROR(IF(ACCIONES[[#This Row],[REPLANTEO '#1]]&gt;TODAY(),1,""),"")</f>
        <v/>
      </c>
      <c r="AE34" s="14">
        <f ca="1">IFERROR(IF(ACCIONES[[#This Row],[REPLANTEO '#2 "Formato de replanteo"]]&gt;TODAY(),1,""),"")</f>
        <v>1</v>
      </c>
      <c r="AF34" s="14" t="str">
        <f ca="1">IFERROR(IF(ACCIONES[[#This Row],[REPLANTEO '#3]]&gt;TODAY(),1,""),"")</f>
        <v/>
      </c>
      <c r="AG34" s="14" t="str">
        <f>IFERROR(IF(ACCIONES[[#This Row],[ESTATUS]]="CIERRE",1,""),"")</f>
        <v/>
      </c>
      <c r="AH34" s="14" t="str">
        <f>IFERROR(IF(ACCIONES[[#This Row],[ESTATUS]]="CERRADA",1,""),"")</f>
        <v/>
      </c>
      <c r="AI34" s="14">
        <f ca="1">IF(ACCIONES[[#This Row],[ESTATUS]]="Abierta",COUNT(ACCIONES[[#This Row],[CÓDIGO 4 EN FECHA DE CIERRE ]:[CÓDIGO 9 ESTATUS CERRADA]]),"")</f>
        <v>1</v>
      </c>
      <c r="AJ34" s="14" t="str" cm="1">
        <f t="array" aca="1" ref="AJ3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4" s="14" t="str" cm="1">
        <f t="array" aca="1" ref="AK3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4" s="14" cm="1">
        <f t="array" aca="1" ref="AL3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10</v>
      </c>
      <c r="AM34" s="14" t="str" cm="1">
        <f t="array" aca="1" ref="AM3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4" s="14" t="b">
        <f ca="1">IFERROR(COUNTIF(ACCIONES[[#This Row],[CÓDIGO 11 POR VENCER FECHA CIERRE]:[CÓDIGO 14 FUERA DE REPLANTEO 3]],3)=1," ")</f>
        <v>0</v>
      </c>
      <c r="AO34" s="14" t="str">
        <f>IFERROR(VLOOKUP(ACCIONES[[#This Row],[DIRECCIÓN O GERENCIA]],AREAS[#All],3,0),"")</f>
        <v>jaenriquez@oomapasc.gob.mx, agalvez@oomapasc.gob.mx</v>
      </c>
    </row>
    <row r="35" spans="3:41" ht="84">
      <c r="C35" s="71">
        <f>IF(ACCIONES[[#This Row],[FECHA DE APERTURA]]="","",YEAR(ACCIONES[[#This Row],[FECHA DE APERTURA]]))</f>
        <v>2025</v>
      </c>
      <c r="D35" s="71">
        <f t="shared" si="5"/>
        <v>34</v>
      </c>
      <c r="E35" s="71"/>
      <c r="F35" s="72">
        <f t="shared" si="1"/>
        <v>21</v>
      </c>
      <c r="G35" s="15" t="str">
        <f>IF(ACCIONES[[#This Row],[FECHA DE APERTURA]]="","",IF(ACCIONES[[#This Row],[Columna1]]="","AC#"&amp;ACCIONES[[#This Row],[foliox]]&amp;"\"&amp;YEAR(ACCIONES[[#This Row],[FECHA DE APERTURA]]),ACCIONES[[#This Row],[Columna1]]))</f>
        <v>AC#21\2025</v>
      </c>
      <c r="H35" s="17">
        <v>45828</v>
      </c>
      <c r="I35" s="18" t="s">
        <v>356</v>
      </c>
      <c r="J35" s="60">
        <v>45884</v>
      </c>
      <c r="K35" s="60">
        <v>46020</v>
      </c>
      <c r="L35" s="60">
        <v>46203</v>
      </c>
      <c r="M35" s="19"/>
      <c r="N35" s="58" t="s">
        <v>19</v>
      </c>
      <c r="O35" s="57" t="s">
        <v>339</v>
      </c>
      <c r="P35" s="21" t="s">
        <v>349</v>
      </c>
      <c r="Q35" s="21"/>
      <c r="R35" s="21"/>
      <c r="S35" s="59"/>
      <c r="T35" s="59"/>
      <c r="U35" s="72" t="str">
        <f>IF(ACCIONES[[#This Row],[Fecha Recibido]]="","",IF(NETWORKDAYS(ACCIONES[[#This Row],[Fecha entrega]],ACCIONES[[#This Row],[Fecha Recibido]])&lt;=5,1,0))</f>
        <v/>
      </c>
      <c r="V35" s="72" t="str">
        <f>IF(ACCIONES[[#This Row],[Fecha entrega]]="","",TEXT(ACCIONES[[#This Row],[Fecha entrega]],"MMMM"))</f>
        <v/>
      </c>
      <c r="W35" s="72" t="str">
        <f>IF(ACCIONES[[#This Row],[Fecha entrega]]="","",YEAR(ACCIONES[[#This Row],[Fecha entrega]]))</f>
        <v/>
      </c>
      <c r="X35" s="14" t="str">
        <f>IF(ACCIONES[[#This Row],[Fecha Recibido]]="","",TEXT(ACCIONES[[#This Row],[Fecha Recibido]],"mmmm"))</f>
        <v/>
      </c>
      <c r="Y35" s="14" t="str">
        <f>IF(ACCIONES[[#This Row],[Fecha Recibido]]="","",YEAR(ACCIONES[[#This Row],[Fecha Recibido]]))</f>
        <v/>
      </c>
      <c r="Z35" s="14" t="str">
        <f>_xlfn.CONCAT(ACCIONES[[#This Row],[DIRECCIÓN O GERENCIA]],ACCIONES[[#This Row],[ORIGEN]])</f>
        <v>Plantas PotabilizadorasAuditoría #3</v>
      </c>
      <c r="AA35" s="14" t="str">
        <f>_xlfn.CONCAT(ACCIONES[[#This Row],[DIRECCIÓN O GERENCIA]],ACCIONES[[#This Row],[ESTATUS]])</f>
        <v>Plantas PotabilizadorasAbierta</v>
      </c>
      <c r="AB35" s="168">
        <f>IF(ACCIONES[[#This Row],[ESTATUS]]="","",MAX(ACCIONES[[#This Row],[FECHA DE CIERRE]:[REPLANTEO '#2 "Formato de replanteo"]]))</f>
        <v>46203</v>
      </c>
      <c r="AC35" s="14" t="str">
        <f ca="1">IFERROR(IF(ACCIONES[[#This Row],[FECHA DE CIERRE]]&gt;TODAY(),1,""),"")</f>
        <v/>
      </c>
      <c r="AD35" s="14" t="str">
        <f ca="1">IFERROR(IF(ACCIONES[[#This Row],[REPLANTEO '#1]]&gt;TODAY(),1,""),"")</f>
        <v/>
      </c>
      <c r="AE35" s="14">
        <f ca="1">IFERROR(IF(ACCIONES[[#This Row],[REPLANTEO '#2 "Formato de replanteo"]]&gt;TODAY(),1,""),"")</f>
        <v>1</v>
      </c>
      <c r="AF35" s="14" t="str">
        <f ca="1">IFERROR(IF(ACCIONES[[#This Row],[REPLANTEO '#3]]&gt;TODAY(),1,""),"")</f>
        <v/>
      </c>
      <c r="AG35" s="14" t="str">
        <f>IFERROR(IF(ACCIONES[[#This Row],[ESTATUS]]="CIERRE",1,""),"")</f>
        <v/>
      </c>
      <c r="AH35" s="14" t="str">
        <f>IFERROR(IF(ACCIONES[[#This Row],[ESTATUS]]="CERRADA",1,""),"")</f>
        <v/>
      </c>
      <c r="AI35" s="14">
        <f ca="1">IF(ACCIONES[[#This Row],[ESTATUS]]="Abierta",COUNT(ACCIONES[[#This Row],[CÓDIGO 4 EN FECHA DE CIERRE ]:[CÓDIGO 9 ESTATUS CERRADA]]),"")</f>
        <v>1</v>
      </c>
      <c r="AJ35" s="14" t="str" cm="1">
        <f t="array" aca="1" ref="AJ3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5" s="14" t="str" cm="1">
        <f t="array" aca="1" ref="AK3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5" s="14" cm="1">
        <f t="array" aca="1" ref="AL3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10</v>
      </c>
      <c r="AM35" s="14" t="str" cm="1">
        <f t="array" aca="1" ref="AM3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5" s="14" t="b">
        <f ca="1">IFERROR(COUNTIF(ACCIONES[[#This Row],[CÓDIGO 11 POR VENCER FECHA CIERRE]:[CÓDIGO 14 FUERA DE REPLANTEO 3]],3)=1," ")</f>
        <v>0</v>
      </c>
      <c r="AO35" s="14" t="str">
        <f>IFERROR(VLOOKUP(ACCIONES[[#This Row],[DIRECCIÓN O GERENCIA]],AREAS[#All],3,0),"")</f>
        <v>jaenriquez@oomapasc.gob.mx, agalvez@oomapasc.gob.mx</v>
      </c>
    </row>
    <row r="36" spans="3:41" ht="52.5" hidden="1">
      <c r="C36" s="71">
        <f>IF(ACCIONES[[#This Row],[FECHA DE APERTURA]]="","",YEAR(ACCIONES[[#This Row],[FECHA DE APERTURA]]))</f>
        <v>2025</v>
      </c>
      <c r="D36" s="71">
        <f>ROW()-1</f>
        <v>35</v>
      </c>
      <c r="E36" s="71"/>
      <c r="F36" s="72">
        <f t="shared" si="1"/>
        <v>22</v>
      </c>
      <c r="G36" s="15" t="str">
        <f>IF(ACCIONES[[#This Row],[FECHA DE APERTURA]]="","",IF(ACCIONES[[#This Row],[Columna1]]="","AC#"&amp;ACCIONES[[#This Row],[foliox]]&amp;"\"&amp;YEAR(ACCIONES[[#This Row],[FECHA DE APERTURA]]),ACCIONES[[#This Row],[Columna1]]))</f>
        <v>AC#22\2025</v>
      </c>
      <c r="H36" s="17">
        <v>45832</v>
      </c>
      <c r="I36" s="18" t="s">
        <v>350</v>
      </c>
      <c r="J36" s="60">
        <v>45869</v>
      </c>
      <c r="K36" s="60"/>
      <c r="L36" s="60"/>
      <c r="M36" s="19"/>
      <c r="N36" s="58" t="s">
        <v>35</v>
      </c>
      <c r="O36" s="57" t="s">
        <v>218</v>
      </c>
      <c r="P36" s="21" t="s">
        <v>307</v>
      </c>
      <c r="Q36" s="21"/>
      <c r="R36" s="21" t="s">
        <v>174</v>
      </c>
      <c r="S36" s="21" t="s">
        <v>357</v>
      </c>
      <c r="T36" s="21" t="s">
        <v>357</v>
      </c>
      <c r="U36" s="72">
        <f>IF(ACCIONES[[#This Row],[Fecha Recibido]]="","",IF(NETWORKDAYS(ACCIONES[[#This Row],[Fecha entrega]],ACCIONES[[#This Row],[Fecha Recibido]])&lt;=5,1,0))</f>
        <v>1</v>
      </c>
      <c r="V36" s="72" t="str">
        <f>IF(ACCIONES[[#This Row],[Fecha entrega]]="","",TEXT(ACCIONES[[#This Row],[Fecha entrega]],"MMMM"))</f>
        <v>julio</v>
      </c>
      <c r="W36" s="72">
        <f>IF(ACCIONES[[#This Row],[Fecha entrega]]="","",YEAR(ACCIONES[[#This Row],[Fecha entrega]]))</f>
        <v>2025</v>
      </c>
      <c r="X36" s="14" t="str">
        <f>IF(ACCIONES[[#This Row],[Fecha Recibido]]="","",TEXT(ACCIONES[[#This Row],[Fecha Recibido]],"mmmm"))</f>
        <v>julio</v>
      </c>
      <c r="Y36" s="14">
        <f>IF(ACCIONES[[#This Row],[Fecha Recibido]]="","",YEAR(ACCIONES[[#This Row],[Fecha Recibido]]))</f>
        <v>2025</v>
      </c>
      <c r="Z36" s="14" t="str">
        <f>_xlfn.CONCAT(ACCIONES[[#This Row],[DIRECCIÓN O GERENCIA]],ACCIONES[[#This Row],[ORIGEN]])</f>
        <v>Sistema de Gestión de CalidadAuditoría #4</v>
      </c>
      <c r="AA36" s="14" t="str">
        <f>_xlfn.CONCAT(ACCIONES[[#This Row],[DIRECCIÓN O GERENCIA]],ACCIONES[[#This Row],[ESTATUS]])</f>
        <v>Sistema de Gestión de CalidadCerrada</v>
      </c>
      <c r="AB36" s="168">
        <f>IF(ACCIONES[[#This Row],[ESTATUS]]="","",MAX(ACCIONES[[#This Row],[FECHA DE CIERRE]:[REPLANTEO '#2 "Formato de replanteo"]]))</f>
        <v>45869</v>
      </c>
      <c r="AC36" s="14" t="str">
        <f ca="1">IFERROR(IF(ACCIONES[[#This Row],[FECHA DE CIERRE]]&gt;TODAY(),1,""),"")</f>
        <v/>
      </c>
      <c r="AD36" s="14" t="str">
        <f ca="1">IFERROR(IF(ACCIONES[[#This Row],[REPLANTEO '#1]]&gt;TODAY(),1,""),"")</f>
        <v/>
      </c>
      <c r="AE36" s="14" t="str">
        <f ca="1">IFERROR(IF(ACCIONES[[#This Row],[REPLANTEO '#2 "Formato de replanteo"]]&gt;TODAY(),1,""),"")</f>
        <v/>
      </c>
      <c r="AF36" s="14" t="str">
        <f ca="1">IFERROR(IF(ACCIONES[[#This Row],[REPLANTEO '#3]]&gt;TODAY(),1,""),"")</f>
        <v/>
      </c>
      <c r="AG36" s="14" t="str">
        <f>IFERROR(IF(ACCIONES[[#This Row],[ESTATUS]]="CIERRE",1,""),"")</f>
        <v/>
      </c>
      <c r="AH36" s="14">
        <f>IFERROR(IF(ACCIONES[[#This Row],[ESTATUS]]="CERRADA",1,""),"")</f>
        <v>1</v>
      </c>
      <c r="AI36" s="14" t="str">
        <f>IF(ACCIONES[[#This Row],[ESTATUS]]="Abierta",COUNT(ACCIONES[[#This Row],[CÓDIGO 4 EN FECHA DE CIERRE ]:[CÓDIGO 9 ESTATUS CERRADA]]),"")</f>
        <v/>
      </c>
      <c r="AJ36" s="14" t="str" cm="1">
        <f t="array" aca="1" ref="AJ36"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6" s="14" t="str" cm="1">
        <f t="array" aca="1" ref="AK36"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6" s="14" t="str" cm="1">
        <f t="array" aca="1" ref="AL36"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6" s="14" t="str" cm="1">
        <f t="array" aca="1" ref="AM36"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6" s="14" t="b">
        <f ca="1">IFERROR(COUNTIF(ACCIONES[[#This Row],[CÓDIGO 11 POR VENCER FECHA CIERRE]:[CÓDIGO 14 FUERA DE REPLANTEO 3]],3)=1," ")</f>
        <v>0</v>
      </c>
      <c r="AO36" s="14">
        <f>IFERROR(VLOOKUP(ACCIONES[[#This Row],[DIRECCIÓN O GERENCIA]],AREAS[#All],3,0),"")</f>
        <v>0</v>
      </c>
    </row>
    <row r="37" spans="3:41" ht="31.5" hidden="1">
      <c r="C37" s="71">
        <f>IF(ACCIONES[[#This Row],[FECHA DE APERTURA]]="","",YEAR(ACCIONES[[#This Row],[FECHA DE APERTURA]]))</f>
        <v>2025</v>
      </c>
      <c r="D37" s="71">
        <f>ROW()-1</f>
        <v>36</v>
      </c>
      <c r="E37" s="71"/>
      <c r="F37" s="72">
        <f t="shared" si="1"/>
        <v>23</v>
      </c>
      <c r="G37" s="15" t="str">
        <f>IF(ACCIONES[[#This Row],[FECHA DE APERTURA]]="","",IF(ACCIONES[[#This Row],[Columna1]]="","AC#"&amp;ACCIONES[[#This Row],[foliox]]&amp;"\"&amp;YEAR(ACCIONES[[#This Row],[FECHA DE APERTURA]]),ACCIONES[[#This Row],[Columna1]]))</f>
        <v>AC#23\2025</v>
      </c>
      <c r="H37" s="17">
        <v>45826</v>
      </c>
      <c r="I37" s="18" t="s">
        <v>358</v>
      </c>
      <c r="J37" s="60">
        <v>45972</v>
      </c>
      <c r="K37" s="60"/>
      <c r="L37" s="60"/>
      <c r="M37" s="19"/>
      <c r="N37" s="58" t="s">
        <v>75</v>
      </c>
      <c r="O37" s="57" t="s">
        <v>218</v>
      </c>
      <c r="P37" s="21" t="s">
        <v>307</v>
      </c>
      <c r="Q37" s="21" t="s">
        <v>359</v>
      </c>
      <c r="R37" s="21" t="s">
        <v>166</v>
      </c>
      <c r="S37" s="21" t="s">
        <v>360</v>
      </c>
      <c r="T37" s="21" t="s">
        <v>360</v>
      </c>
      <c r="U37" s="72">
        <f>IF(ACCIONES[[#This Row],[Fecha Recibido]]="","",IF(NETWORKDAYS(ACCIONES[[#This Row],[Fecha entrega]],ACCIONES[[#This Row],[Fecha Recibido]])&lt;=5,1,0))</f>
        <v>1</v>
      </c>
      <c r="V37" s="72" t="str">
        <f>IF(ACCIONES[[#This Row],[Fecha entrega]]="","",TEXT(ACCIONES[[#This Row],[Fecha entrega]],"MMMM"))</f>
        <v>noviembre</v>
      </c>
      <c r="W37" s="72">
        <f>IF(ACCIONES[[#This Row],[Fecha entrega]]="","",YEAR(ACCIONES[[#This Row],[Fecha entrega]]))</f>
        <v>2025</v>
      </c>
      <c r="X37" s="14" t="str">
        <f>IF(ACCIONES[[#This Row],[Fecha Recibido]]="","",TEXT(ACCIONES[[#This Row],[Fecha Recibido]],"mmmm"))</f>
        <v>noviembre</v>
      </c>
      <c r="Y37" s="14">
        <f>IF(ACCIONES[[#This Row],[Fecha Recibido]]="","",YEAR(ACCIONES[[#This Row],[Fecha Recibido]]))</f>
        <v>2025</v>
      </c>
      <c r="Z37" s="14" t="str">
        <f>_xlfn.CONCAT(ACCIONES[[#This Row],[DIRECCIÓN O GERENCIA]],ACCIONES[[#This Row],[ORIGEN]])</f>
        <v>Recursos HumanosAuditoría #4</v>
      </c>
      <c r="AA37" s="14" t="str">
        <f>_xlfn.CONCAT(ACCIONES[[#This Row],[DIRECCIÓN O GERENCIA]],ACCIONES[[#This Row],[ESTATUS]])</f>
        <v>Recursos HumanosCerrada</v>
      </c>
      <c r="AB37" s="168">
        <f>IF(ACCIONES[[#This Row],[ESTATUS]]="","",MAX(ACCIONES[[#This Row],[FECHA DE CIERRE]:[REPLANTEO '#2 "Formato de replanteo"]]))</f>
        <v>45972</v>
      </c>
      <c r="AC37" s="14" t="str">
        <f ca="1">IFERROR(IF(ACCIONES[[#This Row],[FECHA DE CIERRE]]&gt;TODAY(),1,""),"")</f>
        <v/>
      </c>
      <c r="AD37" s="14" t="str">
        <f ca="1">IFERROR(IF(ACCIONES[[#This Row],[REPLANTEO '#1]]&gt;TODAY(),1,""),"")</f>
        <v/>
      </c>
      <c r="AE37" s="14" t="str">
        <f ca="1">IFERROR(IF(ACCIONES[[#This Row],[REPLANTEO '#2 "Formato de replanteo"]]&gt;TODAY(),1,""),"")</f>
        <v/>
      </c>
      <c r="AF37" s="14" t="str">
        <f ca="1">IFERROR(IF(ACCIONES[[#This Row],[REPLANTEO '#3]]&gt;TODAY(),1,""),"")</f>
        <v/>
      </c>
      <c r="AG37" s="14" t="str">
        <f>IFERROR(IF(ACCIONES[[#This Row],[ESTATUS]]="CIERRE",1,""),"")</f>
        <v/>
      </c>
      <c r="AH37" s="14">
        <f>IFERROR(IF(ACCIONES[[#This Row],[ESTATUS]]="CERRADA",1,""),"")</f>
        <v>1</v>
      </c>
      <c r="AI37" s="14" t="str">
        <f>IF(ACCIONES[[#This Row],[ESTATUS]]="Abierta",COUNT(ACCIONES[[#This Row],[CÓDIGO 4 EN FECHA DE CIERRE ]:[CÓDIGO 9 ESTATUS CERRADA]]),"")</f>
        <v/>
      </c>
      <c r="AJ37" s="14" t="str" cm="1">
        <f t="array" aca="1" ref="AJ3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7" s="14" t="str" cm="1">
        <f t="array" aca="1" ref="AK3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7" s="14" t="str" cm="1">
        <f t="array" aca="1" ref="AL3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7" s="14" t="str" cm="1">
        <f t="array" aca="1" ref="AM3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7" s="14" t="b">
        <f ca="1">IFERROR(COUNTIF(ACCIONES[[#This Row],[CÓDIGO 11 POR VENCER FECHA CIERRE]:[CÓDIGO 14 FUERA DE REPLANTEO 3]],3)=1," ")</f>
        <v>0</v>
      </c>
      <c r="AO37" s="14" t="str">
        <f>IFERROR(VLOOKUP(ACCIONES[[#This Row],[DIRECCIÓN O GERENCIA]],AREAS[#All],3,0),"")</f>
        <v>macosta@oomapasc.gob.mx</v>
      </c>
    </row>
    <row r="38" spans="3:41" ht="31.5" hidden="1" customHeight="1">
      <c r="C38" s="71">
        <f>IF(ACCIONES[[#This Row],[FECHA DE APERTURA]]="","",YEAR(ACCIONES[[#This Row],[FECHA DE APERTURA]]))</f>
        <v>2025</v>
      </c>
      <c r="D38" s="71">
        <f t="shared" si="0"/>
        <v>37</v>
      </c>
      <c r="E38" s="71"/>
      <c r="F38" s="72">
        <f t="shared" si="1"/>
        <v>24</v>
      </c>
      <c r="G38" s="15" t="str">
        <f>IF(ACCIONES[[#This Row],[FECHA DE APERTURA]]="","",IF(ACCIONES[[#This Row],[Columna1]]="","AC#"&amp;ACCIONES[[#This Row],[foliox]]&amp;"\"&amp;YEAR(ACCIONES[[#This Row],[FECHA DE APERTURA]]),ACCIONES[[#This Row],[Columna1]]))</f>
        <v>AC#24\2025</v>
      </c>
      <c r="H38" s="17">
        <v>45888</v>
      </c>
      <c r="I38" s="18" t="s">
        <v>361</v>
      </c>
      <c r="J38" s="60">
        <v>45898</v>
      </c>
      <c r="K38" s="60"/>
      <c r="L38" s="60"/>
      <c r="M38" s="19"/>
      <c r="N38" s="58" t="s">
        <v>92</v>
      </c>
      <c r="O38" s="57" t="s">
        <v>218</v>
      </c>
      <c r="P38" s="21" t="s">
        <v>362</v>
      </c>
      <c r="Q38" s="21" t="s">
        <v>363</v>
      </c>
      <c r="R38" s="21" t="s">
        <v>156</v>
      </c>
      <c r="S38" s="21" t="s">
        <v>364</v>
      </c>
      <c r="T38" s="21" t="s">
        <v>365</v>
      </c>
      <c r="U38" s="72">
        <f>IF(ACCIONES[[#This Row],[Fecha Recibido]]="","",IF(NETWORKDAYS(ACCIONES[[#This Row],[Fecha entrega]],ACCIONES[[#This Row],[Fecha Recibido]])&lt;=5,1,0))</f>
        <v>1</v>
      </c>
      <c r="V38" s="72" t="str">
        <f>IF(ACCIONES[[#This Row],[Fecha entrega]]="","",TEXT(ACCIONES[[#This Row],[Fecha entrega]],"MMMM"))</f>
        <v>septiembre</v>
      </c>
      <c r="W38" s="72">
        <f>IF(ACCIONES[[#This Row],[Fecha entrega]]="","",YEAR(ACCIONES[[#This Row],[Fecha entrega]]))</f>
        <v>2025</v>
      </c>
      <c r="X38" s="14" t="str">
        <f>IF(ACCIONES[[#This Row],[Fecha Recibido]]="","",TEXT(ACCIONES[[#This Row],[Fecha Recibido]],"mmmm"))</f>
        <v>septiembre</v>
      </c>
      <c r="Y38" s="14">
        <f>IF(ACCIONES[[#This Row],[Fecha Recibido]]="","",YEAR(ACCIONES[[#This Row],[Fecha Recibido]]))</f>
        <v>2025</v>
      </c>
      <c r="Z38" s="14" t="str">
        <f>_xlfn.CONCAT(ACCIONES[[#This Row],[DIRECCIÓN O GERENCIA]],ACCIONES[[#This Row],[ORIGEN]])</f>
        <v>Suburbano TécnicoAuditioría #5</v>
      </c>
      <c r="AA38" s="14" t="str">
        <f>_xlfn.CONCAT(ACCIONES[[#This Row],[DIRECCIÓN O GERENCIA]],ACCIONES[[#This Row],[ESTATUS]])</f>
        <v>Suburbano TécnicoCerrada</v>
      </c>
      <c r="AB38" s="168">
        <f>IF(ACCIONES[[#This Row],[ESTATUS]]="","",MAX(ACCIONES[[#This Row],[FECHA DE CIERRE]:[REPLANTEO '#2 "Formato de replanteo"]]))</f>
        <v>45898</v>
      </c>
      <c r="AC38" s="14" t="str">
        <f ca="1">IFERROR(IF(ACCIONES[[#This Row],[FECHA DE CIERRE]]&gt;TODAY(),1,""),"")</f>
        <v/>
      </c>
      <c r="AD38" s="14" t="str">
        <f ca="1">IFERROR(IF(ACCIONES[[#This Row],[REPLANTEO '#1]]&gt;TODAY(),1,""),"")</f>
        <v/>
      </c>
      <c r="AE38" s="14" t="str">
        <f ca="1">IFERROR(IF(ACCIONES[[#This Row],[REPLANTEO '#2 "Formato de replanteo"]]&gt;TODAY(),1,""),"")</f>
        <v/>
      </c>
      <c r="AF38" s="14" t="str">
        <f ca="1">IFERROR(IF(ACCIONES[[#This Row],[REPLANTEO '#3]]&gt;TODAY(),1,""),"")</f>
        <v/>
      </c>
      <c r="AG38" s="14" t="str">
        <f>IFERROR(IF(ACCIONES[[#This Row],[ESTATUS]]="CIERRE",1,""),"")</f>
        <v/>
      </c>
      <c r="AH38" s="14">
        <f>IFERROR(IF(ACCIONES[[#This Row],[ESTATUS]]="CERRADA",1,""),"")</f>
        <v>1</v>
      </c>
      <c r="AI38" s="14" t="str">
        <f>IF(ACCIONES[[#This Row],[ESTATUS]]="Abierta",COUNT(ACCIONES[[#This Row],[CÓDIGO 4 EN FECHA DE CIERRE ]:[CÓDIGO 9 ESTATUS CERRADA]]),"")</f>
        <v/>
      </c>
      <c r="AJ38" s="14" t="str" cm="1">
        <f t="array" aca="1" ref="AJ3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8" s="14" t="str" cm="1">
        <f t="array" aca="1" ref="AK3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8" s="14" t="str" cm="1">
        <f t="array" aca="1" ref="AL3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8" s="14" t="str" cm="1">
        <f t="array" aca="1" ref="AM3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8" s="14" t="b">
        <f ca="1">IFERROR(COUNTIF(ACCIONES[[#This Row],[CÓDIGO 11 POR VENCER FECHA CIERRE]:[CÓDIGO 14 FUERA DE REPLANTEO 3]],3)=1," ")</f>
        <v>0</v>
      </c>
      <c r="AO38" s="14" t="str">
        <f>IFERROR(VLOOKUP(ACCIONES[[#This Row],[DIRECCIÓN O GERENCIA]],AREAS[#All],3,0),"")</f>
        <v>mmendoza@oomapasc.gob.mx</v>
      </c>
    </row>
    <row r="39" spans="3:41" ht="48.75" hidden="1" customHeight="1">
      <c r="C39" s="71">
        <f>IF(ACCIONES[[#This Row],[FECHA DE APERTURA]]="","",YEAR(ACCIONES[[#This Row],[FECHA DE APERTURA]]))</f>
        <v>2025</v>
      </c>
      <c r="D39" s="71">
        <f t="shared" ref="D39:D42" si="6">D38+1</f>
        <v>38</v>
      </c>
      <c r="E39" s="71"/>
      <c r="F39" s="14">
        <f t="shared" ref="F39:F45" si="7">IF(YEAR(H39)=YEAR(H38), F38+1, 1)</f>
        <v>25</v>
      </c>
      <c r="G39" s="15" t="str">
        <f>IF(ACCIONES[[#This Row],[FECHA DE APERTURA]]="","",IF(ACCIONES[[#This Row],[Columna1]]="","AC#"&amp;ACCIONES[[#This Row],[foliox]]&amp;"\"&amp;YEAR(ACCIONES[[#This Row],[FECHA DE APERTURA]]),ACCIONES[[#This Row],[Columna1]]))</f>
        <v>AC#25\2025</v>
      </c>
      <c r="H39" s="17">
        <v>45918</v>
      </c>
      <c r="I39" s="18" t="s">
        <v>366</v>
      </c>
      <c r="J39" s="60">
        <v>46006</v>
      </c>
      <c r="K39" s="60"/>
      <c r="L39" s="60"/>
      <c r="M39" s="19"/>
      <c r="N39" s="58" t="s">
        <v>92</v>
      </c>
      <c r="O39" s="57" t="s">
        <v>218</v>
      </c>
      <c r="P39" s="21" t="s">
        <v>299</v>
      </c>
      <c r="Q39" s="21"/>
      <c r="R39" s="21" t="s">
        <v>172</v>
      </c>
      <c r="S39" s="59" t="s">
        <v>367</v>
      </c>
      <c r="T39" s="59" t="s">
        <v>368</v>
      </c>
      <c r="U39" s="72">
        <f>IF(ACCIONES[[#This Row],[Fecha Recibido]]="","",IF(NETWORKDAYS(ACCIONES[[#This Row],[Fecha entrega]],ACCIONES[[#This Row],[Fecha Recibido]])&lt;=5,1,0))</f>
        <v>1</v>
      </c>
      <c r="V39" s="72" t="str">
        <f>IF(ACCIONES[[#This Row],[Fecha entrega]]="","",TEXT(ACCIONES[[#This Row],[Fecha entrega]],"MMMM"))</f>
        <v>diciembre</v>
      </c>
      <c r="W39" s="72">
        <f>IF(ACCIONES[[#This Row],[Fecha entrega]]="","",YEAR(ACCIONES[[#This Row],[Fecha entrega]]))</f>
        <v>2025</v>
      </c>
      <c r="X39" s="14" t="str">
        <f>IF(ACCIONES[[#This Row],[Fecha Recibido]]="","",TEXT(ACCIONES[[#This Row],[Fecha Recibido]],"mmmm"))</f>
        <v>diciembre</v>
      </c>
      <c r="Y39" s="14">
        <f>IF(ACCIONES[[#This Row],[Fecha Recibido]]="","",YEAR(ACCIONES[[#This Row],[Fecha Recibido]]))</f>
        <v>2025</v>
      </c>
      <c r="Z39" s="14" t="str">
        <f>_xlfn.CONCAT(ACCIONES[[#This Row],[DIRECCIÓN O GERENCIA]],ACCIONES[[#This Row],[ORIGEN]])</f>
        <v>Suburbano TécnicoIndicador</v>
      </c>
      <c r="AA39" s="14" t="str">
        <f>_xlfn.CONCAT(ACCIONES[[#This Row],[DIRECCIÓN O GERENCIA]],ACCIONES[[#This Row],[ESTATUS]])</f>
        <v>Suburbano TécnicoCerrada</v>
      </c>
      <c r="AB39" s="168">
        <f>IF(ACCIONES[[#This Row],[ESTATUS]]="","",MAX(ACCIONES[[#This Row],[FECHA DE CIERRE]:[REPLANTEO '#2 "Formato de replanteo"]]))</f>
        <v>46006</v>
      </c>
      <c r="AC39" s="14" t="str">
        <f ca="1">IFERROR(IF(ACCIONES[[#This Row],[FECHA DE CIERRE]]&gt;TODAY(),1,""),"")</f>
        <v/>
      </c>
      <c r="AD39" s="14" t="str">
        <f ca="1">IFERROR(IF(ACCIONES[[#This Row],[REPLANTEO '#1]]&gt;TODAY(),1,""),"")</f>
        <v/>
      </c>
      <c r="AE39" s="14" t="str">
        <f ca="1">IFERROR(IF(ACCIONES[[#This Row],[REPLANTEO '#2 "Formato de replanteo"]]&gt;TODAY(),1,""),"")</f>
        <v/>
      </c>
      <c r="AF39" s="14" t="str">
        <f ca="1">IFERROR(IF(ACCIONES[[#This Row],[REPLANTEO '#3]]&gt;TODAY(),1,""),"")</f>
        <v/>
      </c>
      <c r="AG39" s="14" t="str">
        <f>IFERROR(IF(ACCIONES[[#This Row],[ESTATUS]]="CIERRE",1,""),"")</f>
        <v/>
      </c>
      <c r="AH39" s="14">
        <f>IFERROR(IF(ACCIONES[[#This Row],[ESTATUS]]="CERRADA",1,""),"")</f>
        <v>1</v>
      </c>
      <c r="AI39" s="14" t="str">
        <f>IF(ACCIONES[[#This Row],[ESTATUS]]="Abierta",COUNT(ACCIONES[[#This Row],[CÓDIGO 4 EN FECHA DE CIERRE ]:[CÓDIGO 9 ESTATUS CERRADA]]),"")</f>
        <v/>
      </c>
      <c r="AJ39" s="14" t="str" cm="1">
        <f t="array" aca="1" ref="AJ3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39" s="14" t="str" cm="1">
        <f t="array" aca="1" ref="AK3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39" s="14" t="str" cm="1">
        <f t="array" aca="1" ref="AL3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39" s="14" t="str" cm="1">
        <f t="array" aca="1" ref="AM3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39" s="14" t="b">
        <f ca="1">IFERROR(COUNTIF(ACCIONES[[#This Row],[CÓDIGO 11 POR VENCER FECHA CIERRE]:[CÓDIGO 14 FUERA DE REPLANTEO 3]],3)=1," ")</f>
        <v>0</v>
      </c>
      <c r="AO39" s="14" t="str">
        <f>IFERROR(VLOOKUP(ACCIONES[[#This Row],[DIRECCIÓN O GERENCIA]],AREAS[#All],3,0),"")</f>
        <v>mmendoza@oomapasc.gob.mx</v>
      </c>
    </row>
    <row r="40" spans="3:41" ht="42" hidden="1">
      <c r="C40" s="71">
        <f>IF(ACCIONES[[#This Row],[FECHA DE APERTURA]]="","",YEAR(ACCIONES[[#This Row],[FECHA DE APERTURA]]))</f>
        <v>2025</v>
      </c>
      <c r="D40" s="71">
        <f t="shared" si="6"/>
        <v>39</v>
      </c>
      <c r="E40" s="71"/>
      <c r="F40" s="14">
        <f t="shared" si="7"/>
        <v>26</v>
      </c>
      <c r="G40" s="15" t="str">
        <f>IF(ACCIONES[[#This Row],[FECHA DE APERTURA]]="","",IF(ACCIONES[[#This Row],[Columna1]]="","AC#"&amp;ACCIONES[[#This Row],[foliox]]&amp;"\"&amp;YEAR(ACCIONES[[#This Row],[FECHA DE APERTURA]]),ACCIONES[[#This Row],[Columna1]]))</f>
        <v>AC#26\2025</v>
      </c>
      <c r="H40" s="17">
        <v>45947</v>
      </c>
      <c r="I40" s="18" t="s">
        <v>369</v>
      </c>
      <c r="J40" s="60">
        <v>46041</v>
      </c>
      <c r="K40" s="60"/>
      <c r="L40" s="60"/>
      <c r="M40" s="19"/>
      <c r="N40" s="20" t="s">
        <v>95</v>
      </c>
      <c r="O40" s="57" t="s">
        <v>218</v>
      </c>
      <c r="P40" s="21" t="s">
        <v>370</v>
      </c>
      <c r="Q40" s="21"/>
      <c r="R40" s="21" t="s">
        <v>165</v>
      </c>
      <c r="S40" s="59" t="s">
        <v>371</v>
      </c>
      <c r="T40" s="59">
        <v>46049</v>
      </c>
      <c r="U40" s="72">
        <f>IF(ACCIONES[[#This Row],[Fecha Recibido]]="","",IF(NETWORKDAYS(ACCIONES[[#This Row],[Fecha entrega]],ACCIONES[[#This Row],[Fecha Recibido]])&lt;=5,1,0))</f>
        <v>1</v>
      </c>
      <c r="V40" s="72" t="str">
        <f>IF(ACCIONES[[#This Row],[Fecha entrega]]="","",TEXT(ACCIONES[[#This Row],[Fecha entrega]],"MMMM"))</f>
        <v>enero</v>
      </c>
      <c r="W40" s="72">
        <f>IF(ACCIONES[[#This Row],[Fecha entrega]]="","",YEAR(ACCIONES[[#This Row],[Fecha entrega]]))</f>
        <v>2026</v>
      </c>
      <c r="X40" s="14" t="str">
        <f>IF(ACCIONES[[#This Row],[Fecha Recibido]]="","",TEXT(ACCIONES[[#This Row],[Fecha Recibido]],"mmmm"))</f>
        <v>enero</v>
      </c>
      <c r="Y40" s="14">
        <f>IF(ACCIONES[[#This Row],[Fecha Recibido]]="","",YEAR(ACCIONES[[#This Row],[Fecha Recibido]]))</f>
        <v>2026</v>
      </c>
      <c r="Z40" s="14" t="str">
        <f>_xlfn.CONCAT(ACCIONES[[#This Row],[DIRECCIÓN O GERENCIA]],ACCIONES[[#This Row],[ORIGEN]])</f>
        <v>Supervisión y control de obrasAuditoría #8</v>
      </c>
      <c r="AA40" s="14" t="str">
        <f>_xlfn.CONCAT(ACCIONES[[#This Row],[DIRECCIÓN O GERENCIA]],ACCIONES[[#This Row],[ESTATUS]])</f>
        <v>Supervisión y control de obrasCerrada</v>
      </c>
      <c r="AB40" s="168">
        <f>IF(ACCIONES[[#This Row],[ESTATUS]]="","",MAX(ACCIONES[[#This Row],[FECHA DE CIERRE]:[REPLANTEO '#2 "Formato de replanteo"]]))</f>
        <v>46041</v>
      </c>
      <c r="AC40" s="14" t="str">
        <f ca="1">IFERROR(IF(ACCIONES[[#This Row],[FECHA DE CIERRE]]&gt;TODAY(),1,""),"")</f>
        <v/>
      </c>
      <c r="AD40" s="14" t="str">
        <f ca="1">IFERROR(IF(ACCIONES[[#This Row],[REPLANTEO '#1]]&gt;TODAY(),1,""),"")</f>
        <v/>
      </c>
      <c r="AE40" s="14" t="str">
        <f ca="1">IFERROR(IF(ACCIONES[[#This Row],[REPLANTEO '#2 "Formato de replanteo"]]&gt;TODAY(),1,""),"")</f>
        <v/>
      </c>
      <c r="AF40" s="14" t="str">
        <f ca="1">IFERROR(IF(ACCIONES[[#This Row],[REPLANTEO '#3]]&gt;TODAY(),1,""),"")</f>
        <v/>
      </c>
      <c r="AG40" s="14" t="str">
        <f>IFERROR(IF(ACCIONES[[#This Row],[ESTATUS]]="CIERRE",1,""),"")</f>
        <v/>
      </c>
      <c r="AH40" s="14">
        <f>IFERROR(IF(ACCIONES[[#This Row],[ESTATUS]]="CERRADA",1,""),"")</f>
        <v>1</v>
      </c>
      <c r="AI40" s="14" t="str">
        <f>IF(ACCIONES[[#This Row],[ESTATUS]]="Abierta",COUNT(ACCIONES[[#This Row],[CÓDIGO 4 EN FECHA DE CIERRE ]:[CÓDIGO 9 ESTATUS CERRADA]]),"")</f>
        <v/>
      </c>
      <c r="AJ40" s="14" t="str" cm="1">
        <f t="array" aca="1" ref="AJ4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0" s="14" t="str" cm="1">
        <f t="array" aca="1" ref="AK4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0" s="14" t="str" cm="1">
        <f t="array" aca="1" ref="AL4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0" s="14" t="str" cm="1">
        <f t="array" aca="1" ref="AM4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0" s="14" t="b">
        <f ca="1">IFERROR(COUNTIF(ACCIONES[[#This Row],[CÓDIGO 11 POR VENCER FECHA CIERRE]:[CÓDIGO 14 FUERA DE REPLANTEO 3]],3)=1," ")</f>
        <v>0</v>
      </c>
      <c r="AO40" s="14">
        <f>IFERROR(VLOOKUP(ACCIONES[[#This Row],[DIRECCIÓN O GERENCIA]],AREAS[#All],3,0),"")</f>
        <v>0</v>
      </c>
    </row>
    <row r="41" spans="3:41" ht="115.5" hidden="1">
      <c r="C41" s="71">
        <f>IF(ACCIONES[[#This Row],[FECHA DE APERTURA]]="","",YEAR(ACCIONES[[#This Row],[FECHA DE APERTURA]]))</f>
        <v>2025</v>
      </c>
      <c r="D41" s="71">
        <f t="shared" si="6"/>
        <v>40</v>
      </c>
      <c r="E41" s="71"/>
      <c r="F41" s="14">
        <f t="shared" si="7"/>
        <v>27</v>
      </c>
      <c r="G41" s="15" t="str">
        <f>IF(ACCIONES[[#This Row],[FECHA DE APERTURA]]="","",IF(ACCIONES[[#This Row],[Columna1]]="","AC#"&amp;ACCIONES[[#This Row],[foliox]]&amp;"\"&amp;YEAR(ACCIONES[[#This Row],[FECHA DE APERTURA]]),ACCIONES[[#This Row],[Columna1]]))</f>
        <v>AC#27\2025</v>
      </c>
      <c r="H41" s="17">
        <v>45947</v>
      </c>
      <c r="I41" s="18" t="s">
        <v>372</v>
      </c>
      <c r="J41" s="60">
        <v>46041</v>
      </c>
      <c r="K41" s="60"/>
      <c r="L41" s="60"/>
      <c r="M41" s="19"/>
      <c r="N41" s="20" t="s">
        <v>95</v>
      </c>
      <c r="O41" s="57" t="s">
        <v>218</v>
      </c>
      <c r="P41" s="21" t="s">
        <v>370</v>
      </c>
      <c r="Q41" s="21" t="s">
        <v>373</v>
      </c>
      <c r="R41" s="21" t="s">
        <v>156</v>
      </c>
      <c r="S41" s="59" t="s">
        <v>371</v>
      </c>
      <c r="T41" s="59">
        <v>46050</v>
      </c>
      <c r="U41" s="72">
        <f>IF(ACCIONES[[#This Row],[Fecha Recibido]]="","",IF(NETWORKDAYS(ACCIONES[[#This Row],[Fecha entrega]],ACCIONES[[#This Row],[Fecha Recibido]])&lt;=5,1,0))</f>
        <v>0</v>
      </c>
      <c r="V41" s="72" t="str">
        <f>IF(ACCIONES[[#This Row],[Fecha entrega]]="","",TEXT(ACCIONES[[#This Row],[Fecha entrega]],"MMMM"))</f>
        <v>enero</v>
      </c>
      <c r="W41" s="72">
        <f>IF(ACCIONES[[#This Row],[Fecha entrega]]="","",YEAR(ACCIONES[[#This Row],[Fecha entrega]]))</f>
        <v>2026</v>
      </c>
      <c r="X41" s="14" t="str">
        <f>IF(ACCIONES[[#This Row],[Fecha Recibido]]="","",TEXT(ACCIONES[[#This Row],[Fecha Recibido]],"mmmm"))</f>
        <v>enero</v>
      </c>
      <c r="Y41" s="14">
        <f>IF(ACCIONES[[#This Row],[Fecha Recibido]]="","",YEAR(ACCIONES[[#This Row],[Fecha Recibido]]))</f>
        <v>2026</v>
      </c>
      <c r="Z41" s="14" t="str">
        <f>_xlfn.CONCAT(ACCIONES[[#This Row],[DIRECCIÓN O GERENCIA]],ACCIONES[[#This Row],[ORIGEN]])</f>
        <v>Supervisión y control de obrasAuditoría #8</v>
      </c>
      <c r="AA41" s="14" t="str">
        <f>_xlfn.CONCAT(ACCIONES[[#This Row],[DIRECCIÓN O GERENCIA]],ACCIONES[[#This Row],[ESTATUS]])</f>
        <v>Supervisión y control de obrasCerrada</v>
      </c>
      <c r="AB41" s="168">
        <f>IF(ACCIONES[[#This Row],[ESTATUS]]="","",MAX(ACCIONES[[#This Row],[FECHA DE CIERRE]:[REPLANTEO '#2 "Formato de replanteo"]]))</f>
        <v>46041</v>
      </c>
      <c r="AC41" s="14" t="str">
        <f ca="1">IFERROR(IF(ACCIONES[[#This Row],[FECHA DE CIERRE]]&gt;TODAY(),1,""),"")</f>
        <v/>
      </c>
      <c r="AD41" s="14" t="str">
        <f ca="1">IFERROR(IF(ACCIONES[[#This Row],[REPLANTEO '#1]]&gt;TODAY(),1,""),"")</f>
        <v/>
      </c>
      <c r="AE41" s="14" t="str">
        <f ca="1">IFERROR(IF(ACCIONES[[#This Row],[REPLANTEO '#2 "Formato de replanteo"]]&gt;TODAY(),1,""),"")</f>
        <v/>
      </c>
      <c r="AF41" s="14" t="str">
        <f ca="1">IFERROR(IF(ACCIONES[[#This Row],[REPLANTEO '#3]]&gt;TODAY(),1,""),"")</f>
        <v/>
      </c>
      <c r="AG41" s="14" t="str">
        <f>IFERROR(IF(ACCIONES[[#This Row],[ESTATUS]]="CIERRE",1,""),"")</f>
        <v/>
      </c>
      <c r="AH41" s="14">
        <f>IFERROR(IF(ACCIONES[[#This Row],[ESTATUS]]="CERRADA",1,""),"")</f>
        <v>1</v>
      </c>
      <c r="AI41" s="14" t="str">
        <f>IF(ACCIONES[[#This Row],[ESTATUS]]="Abierta",COUNT(ACCIONES[[#This Row],[CÓDIGO 4 EN FECHA DE CIERRE ]:[CÓDIGO 9 ESTATUS CERRADA]]),"")</f>
        <v/>
      </c>
      <c r="AJ41" s="14" t="str" cm="1">
        <f t="array" aca="1" ref="AJ4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1" s="14" t="str" cm="1">
        <f t="array" aca="1" ref="AK4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1" s="14" t="str" cm="1">
        <f t="array" aca="1" ref="AL4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1" s="14" t="str" cm="1">
        <f t="array" aca="1" ref="AM4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1" s="14" t="b">
        <f ca="1">IFERROR(COUNTIF(ACCIONES[[#This Row],[CÓDIGO 11 POR VENCER FECHA CIERRE]:[CÓDIGO 14 FUERA DE REPLANTEO 3]],3)=1," ")</f>
        <v>0</v>
      </c>
      <c r="AO41" s="14">
        <f>IFERROR(VLOOKUP(ACCIONES[[#This Row],[DIRECCIÓN O GERENCIA]],AREAS[#All],3,0),"")</f>
        <v>0</v>
      </c>
    </row>
    <row r="42" spans="3:41" ht="52.5">
      <c r="C42" s="71">
        <f>IF(ACCIONES[[#This Row],[FECHA DE APERTURA]]="","",YEAR(ACCIONES[[#This Row],[FECHA DE APERTURA]]))</f>
        <v>2025</v>
      </c>
      <c r="D42" s="71">
        <f t="shared" si="6"/>
        <v>41</v>
      </c>
      <c r="E42" s="71"/>
      <c r="F42" s="14">
        <f t="shared" si="7"/>
        <v>28</v>
      </c>
      <c r="G42" s="15" t="str">
        <f>IF(ACCIONES[[#This Row],[FECHA DE APERTURA]]="","",IF(ACCIONES[[#This Row],[Columna1]]="","AC#"&amp;ACCIONES[[#This Row],[foliox]]&amp;"\"&amp;YEAR(ACCIONES[[#This Row],[FECHA DE APERTURA]]),ACCIONES[[#This Row],[Columna1]]))</f>
        <v>AC#28\2025</v>
      </c>
      <c r="H42" s="17">
        <v>45958</v>
      </c>
      <c r="I42" s="18" t="s">
        <v>374</v>
      </c>
      <c r="J42" s="60">
        <v>46077</v>
      </c>
      <c r="K42" s="60">
        <v>46169</v>
      </c>
      <c r="L42" s="60"/>
      <c r="M42" s="19"/>
      <c r="N42" s="20" t="s">
        <v>78</v>
      </c>
      <c r="O42" s="57" t="s">
        <v>339</v>
      </c>
      <c r="P42" s="21" t="s">
        <v>319</v>
      </c>
      <c r="Q42" s="21"/>
      <c r="R42" s="21"/>
      <c r="S42" s="59"/>
      <c r="T42" s="59"/>
      <c r="U42" s="72" t="str">
        <f>IF(ACCIONES[[#This Row],[Fecha Recibido]]="","",IF(NETWORKDAYS(ACCIONES[[#This Row],[Fecha entrega]],ACCIONES[[#This Row],[Fecha Recibido]])&lt;=5,1,0))</f>
        <v/>
      </c>
      <c r="V42" s="72" t="str">
        <f>IF(ACCIONES[[#This Row],[Fecha entrega]]="","",TEXT(ACCIONES[[#This Row],[Fecha entrega]],"MMMM"))</f>
        <v/>
      </c>
      <c r="W42" s="72" t="str">
        <f>IF(ACCIONES[[#This Row],[Fecha entrega]]="","",YEAR(ACCIONES[[#This Row],[Fecha entrega]]))</f>
        <v/>
      </c>
      <c r="X42" s="14" t="str">
        <f>IF(ACCIONES[[#This Row],[Fecha Recibido]]="","",TEXT(ACCIONES[[#This Row],[Fecha Recibido]],"mmmm"))</f>
        <v/>
      </c>
      <c r="Y42" s="14" t="str">
        <f>IF(ACCIONES[[#This Row],[Fecha Recibido]]="","",YEAR(ACCIONES[[#This Row],[Fecha Recibido]]))</f>
        <v/>
      </c>
      <c r="Z42" s="14" t="str">
        <f>_xlfn.CONCAT(ACCIONES[[#This Row],[DIRECCIÓN O GERENCIA]],ACCIONES[[#This Row],[ORIGEN]])</f>
        <v>Seguridad IndustrialAuditoría #7</v>
      </c>
      <c r="AA42" s="14" t="str">
        <f>_xlfn.CONCAT(ACCIONES[[#This Row],[DIRECCIÓN O GERENCIA]],ACCIONES[[#This Row],[ESTATUS]])</f>
        <v>Seguridad IndustrialAbierta</v>
      </c>
      <c r="AB42" s="168">
        <f>IF(ACCIONES[[#This Row],[ESTATUS]]="","",MAX(ACCIONES[[#This Row],[FECHA DE CIERRE]:[REPLANTEO '#2 "Formato de replanteo"]]))</f>
        <v>46169</v>
      </c>
      <c r="AC42" s="14" t="str">
        <f ca="1">IFERROR(IF(ACCIONES[[#This Row],[FECHA DE CIERRE]]&gt;TODAY(),1,""),"")</f>
        <v/>
      </c>
      <c r="AD42" s="14">
        <f ca="1">IFERROR(IF(ACCIONES[[#This Row],[REPLANTEO '#1]]&gt;TODAY(),1,""),"")</f>
        <v>1</v>
      </c>
      <c r="AE42" s="14" t="str">
        <f ca="1">IFERROR(IF(ACCIONES[[#This Row],[REPLANTEO '#2 "Formato de replanteo"]]&gt;TODAY(),1,""),"")</f>
        <v/>
      </c>
      <c r="AF42" s="14" t="str">
        <f ca="1">IFERROR(IF(ACCIONES[[#This Row],[REPLANTEO '#3]]&gt;TODAY(),1,""),"")</f>
        <v/>
      </c>
      <c r="AG42" s="14" t="str">
        <f>IFERROR(IF(ACCIONES[[#This Row],[ESTATUS]]="CIERRE",1,""),"")</f>
        <v/>
      </c>
      <c r="AH42" s="14" t="str">
        <f>IFERROR(IF(ACCIONES[[#This Row],[ESTATUS]]="CERRADA",1,""),"")</f>
        <v/>
      </c>
      <c r="AI42" s="14">
        <f ca="1">IF(ACCIONES[[#This Row],[ESTATUS]]="Abierta",COUNT(ACCIONES[[#This Row],[CÓDIGO 4 EN FECHA DE CIERRE ]:[CÓDIGO 9 ESTATUS CERRADA]]),"")</f>
        <v>1</v>
      </c>
      <c r="AJ42" s="14" t="str" cm="1">
        <f t="array" aca="1" ref="AJ4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2" s="14" cm="1">
        <f t="array" aca="1" ref="AK4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10</v>
      </c>
      <c r="AL42" s="14" t="str" cm="1">
        <f t="array" aca="1" ref="AL4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2" s="14" t="str" cm="1">
        <f t="array" aca="1" ref="AM4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2" s="14" t="b">
        <f ca="1">IFERROR(COUNTIF(ACCIONES[[#This Row],[CÓDIGO 11 POR VENCER FECHA CIERRE]:[CÓDIGO 14 FUERA DE REPLANTEO 3]],3)=1," ")</f>
        <v>0</v>
      </c>
      <c r="AO42" s="14" t="str">
        <f>IFERROR(VLOOKUP(ACCIONES[[#This Row],[DIRECCIÓN O GERENCIA]],AREAS[#All],3,0),"")</f>
        <v>mavila@oomapasc.gob.mx</v>
      </c>
    </row>
    <row r="43" spans="3:41" ht="73.5" hidden="1">
      <c r="C43" s="71">
        <f>IF(ACCIONES[[#This Row],[FECHA DE APERTURA]]="","",YEAR(ACCIONES[[#This Row],[FECHA DE APERTURA]]))</f>
        <v>2025</v>
      </c>
      <c r="D43" s="71">
        <f>ROW()-1</f>
        <v>42</v>
      </c>
      <c r="E43" s="71"/>
      <c r="F43" s="14">
        <f t="shared" si="7"/>
        <v>29</v>
      </c>
      <c r="G43" s="15" t="str">
        <f>IF(ACCIONES[[#This Row],[FECHA DE APERTURA]]="","",IF(ACCIONES[[#This Row],[Columna1]]="","AC#"&amp;ACCIONES[[#This Row],[foliox]]&amp;"\"&amp;YEAR(ACCIONES[[#This Row],[FECHA DE APERTURA]]),ACCIONES[[#This Row],[Columna1]]))</f>
        <v>AC#29\2025</v>
      </c>
      <c r="H43" s="17">
        <v>45995</v>
      </c>
      <c r="I43" s="18" t="s">
        <v>375</v>
      </c>
      <c r="J43" s="60">
        <v>46112</v>
      </c>
      <c r="K43" s="60"/>
      <c r="L43" s="60"/>
      <c r="M43" s="19"/>
      <c r="N43" s="20" t="s">
        <v>12</v>
      </c>
      <c r="O43" s="57" t="s">
        <v>218</v>
      </c>
      <c r="P43" s="21" t="s">
        <v>334</v>
      </c>
      <c r="Q43" s="21"/>
      <c r="R43" s="21" t="s">
        <v>178</v>
      </c>
      <c r="S43" s="21"/>
      <c r="T43" s="21"/>
      <c r="U43" s="72" t="str">
        <f>IF(ACCIONES[[#This Row],[Fecha Recibido]]="","",IF(NETWORKDAYS(ACCIONES[[#This Row],[Fecha entrega]],ACCIONES[[#This Row],[Fecha Recibido]])&lt;=5,1,0))</f>
        <v/>
      </c>
      <c r="V43" s="57" t="str">
        <f>IF(ACCIONES[[#This Row],[Fecha entrega]]="","",TEXT(ACCIONES[[#This Row],[Fecha entrega]],"MMMM"))</f>
        <v/>
      </c>
      <c r="W43" s="57" t="str">
        <f>IF(ACCIONES[[#This Row],[Fecha entrega]]="","",YEAR(ACCIONES[[#This Row],[Fecha entrega]]))</f>
        <v/>
      </c>
      <c r="X43" s="14" t="str">
        <f>IF(ACCIONES[[#This Row],[Fecha Recibido]]="","",TEXT(ACCIONES[[#This Row],[Fecha Recibido]],"mmmm"))</f>
        <v/>
      </c>
      <c r="Y43" s="14" t="str">
        <f>IF(ACCIONES[[#This Row],[Fecha Recibido]]="","",YEAR(ACCIONES[[#This Row],[Fecha Recibido]]))</f>
        <v/>
      </c>
      <c r="Z43" s="18" t="str">
        <f>_xlfn.CONCAT(ACCIONES[[#This Row],[DIRECCIÓN O GERENCIA]],ACCIONES[[#This Row],[ORIGEN]])</f>
        <v>Alcantarillado y SaneamientoAuditoría #10</v>
      </c>
      <c r="AA43" s="18" t="str">
        <f>_xlfn.CONCAT(ACCIONES[[#This Row],[DIRECCIÓN O GERENCIA]],ACCIONES[[#This Row],[ESTATUS]])</f>
        <v>Alcantarillado y SaneamientoCerrada</v>
      </c>
      <c r="AB43" s="17">
        <f>IF(ACCIONES[[#This Row],[ESTATUS]]="","",MAX(ACCIONES[[#This Row],[FECHA DE CIERRE]:[REPLANTEO '#2 "Formato de replanteo"]]))</f>
        <v>46112</v>
      </c>
      <c r="AC43" s="18" t="str">
        <f ca="1">IFERROR(IF(ACCIONES[[#This Row],[FECHA DE CIERRE]]&gt;TODAY(),1,""),"")</f>
        <v/>
      </c>
      <c r="AD43" s="18" t="str">
        <f ca="1">IFERROR(IF(ACCIONES[[#This Row],[REPLANTEO '#1]]&gt;TODAY(),1,""),"")</f>
        <v/>
      </c>
      <c r="AE43" s="18" t="str">
        <f ca="1">IFERROR(IF(ACCIONES[[#This Row],[REPLANTEO '#2 "Formato de replanteo"]]&gt;TODAY(),1,""),"")</f>
        <v/>
      </c>
      <c r="AF43" s="18" t="str">
        <f ca="1">IFERROR(IF(ACCIONES[[#This Row],[REPLANTEO '#3]]&gt;TODAY(),1,""),"")</f>
        <v/>
      </c>
      <c r="AG43" s="14" t="str">
        <f>IFERROR(IF(ACCIONES[[#This Row],[ESTATUS]]="CIERRE",1,""),"")</f>
        <v/>
      </c>
      <c r="AH43" s="14">
        <f>IFERROR(IF(ACCIONES[[#This Row],[ESTATUS]]="CERRADA",1,""),"")</f>
        <v>1</v>
      </c>
      <c r="AI43" s="14" t="str">
        <f>IF(ACCIONES[[#This Row],[ESTATUS]]="Abierta",COUNT(ACCIONES[[#This Row],[CÓDIGO 4 EN FECHA DE CIERRE ]:[CÓDIGO 9 ESTATUS CERRADA]]),"")</f>
        <v/>
      </c>
      <c r="AJ43" s="14" t="str" cm="1">
        <f t="array" aca="1" ref="AJ4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3" s="14" t="str" cm="1">
        <f t="array" aca="1" ref="AK4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3" s="14" t="str" cm="1">
        <f t="array" aca="1" ref="AL4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3" s="14" t="str" cm="1">
        <f t="array" aca="1" ref="AM4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3" s="14" t="b">
        <f ca="1">IFERROR(COUNTIF(ACCIONES[[#This Row],[CÓDIGO 11 POR VENCER FECHA CIERRE]:[CÓDIGO 14 FUERA DE REPLANTEO 3]],3)=1," ")</f>
        <v>0</v>
      </c>
      <c r="AO43" s="14" t="str">
        <f>IFERROR(VLOOKUP(ACCIONES[[#This Row],[DIRECCIÓN O GERENCIA]],AREAS[#All],3,0),"")</f>
        <v>agastelum@oomapasc.gob.mx, cflores@oomapasc.gob.mx</v>
      </c>
    </row>
    <row r="44" spans="3:41" ht="168">
      <c r="C44" s="71">
        <f>IF(ACCIONES[[#This Row],[FECHA DE APERTURA]]="","",YEAR(ACCIONES[[#This Row],[FECHA DE APERTURA]]))</f>
        <v>2025</v>
      </c>
      <c r="D44" s="71">
        <f>ROW()-1</f>
        <v>43</v>
      </c>
      <c r="E44" s="71"/>
      <c r="F44" s="14">
        <f t="shared" si="7"/>
        <v>30</v>
      </c>
      <c r="G44" s="15" t="str">
        <f>IF(ACCIONES[[#This Row],[FECHA DE APERTURA]]="","",IF(ACCIONES[[#This Row],[Columna1]]="","AC#"&amp;ACCIONES[[#This Row],[foliox]]&amp;"\"&amp;YEAR(ACCIONES[[#This Row],[FECHA DE APERTURA]]),ACCIONES[[#This Row],[Columna1]]))</f>
        <v>AC#30\2025</v>
      </c>
      <c r="H44" s="17">
        <v>45995</v>
      </c>
      <c r="I44" s="18" t="s">
        <v>376</v>
      </c>
      <c r="J44" s="60">
        <v>46142</v>
      </c>
      <c r="K44" s="60"/>
      <c r="L44" s="60"/>
      <c r="M44" s="19"/>
      <c r="N44" s="20" t="s">
        <v>12</v>
      </c>
      <c r="O44" s="57" t="s">
        <v>339</v>
      </c>
      <c r="P44" s="21" t="s">
        <v>334</v>
      </c>
      <c r="Q44" s="21"/>
      <c r="R44" s="21"/>
      <c r="S44" s="59"/>
      <c r="T44" s="59"/>
      <c r="U44" s="72" t="str">
        <f>IF(ACCIONES[[#This Row],[Fecha Recibido]]="","",IF(NETWORKDAYS(ACCIONES[[#This Row],[Fecha entrega]],ACCIONES[[#This Row],[Fecha Recibido]])&lt;=5,1,0))</f>
        <v/>
      </c>
      <c r="V44" s="72" t="str">
        <f>IF(ACCIONES[[#This Row],[Fecha entrega]]="","",TEXT(ACCIONES[[#This Row],[Fecha entrega]],"MMMM"))</f>
        <v/>
      </c>
      <c r="W44" s="72" t="str">
        <f>IF(ACCIONES[[#This Row],[Fecha entrega]]="","",YEAR(ACCIONES[[#This Row],[Fecha entrega]]))</f>
        <v/>
      </c>
      <c r="X44" s="14" t="str">
        <f>IF(ACCIONES[[#This Row],[Fecha Recibido]]="","",TEXT(ACCIONES[[#This Row],[Fecha Recibido]],"mmmm"))</f>
        <v/>
      </c>
      <c r="Y44" s="14" t="str">
        <f>IF(ACCIONES[[#This Row],[Fecha Recibido]]="","",YEAR(ACCIONES[[#This Row],[Fecha Recibido]]))</f>
        <v/>
      </c>
      <c r="Z44" s="14" t="str">
        <f>_xlfn.CONCAT(ACCIONES[[#This Row],[DIRECCIÓN O GERENCIA]],ACCIONES[[#This Row],[ORIGEN]])</f>
        <v>Alcantarillado y SaneamientoAuditoría #10</v>
      </c>
      <c r="AA44" s="14" t="str">
        <f>_xlfn.CONCAT(ACCIONES[[#This Row],[DIRECCIÓN O GERENCIA]],ACCIONES[[#This Row],[ESTATUS]])</f>
        <v>Alcantarillado y SaneamientoAbierta</v>
      </c>
      <c r="AB44" s="168">
        <f>IF(ACCIONES[[#This Row],[ESTATUS]]="","",MAX(ACCIONES[[#This Row],[FECHA DE CIERRE]:[REPLANTEO '#2 "Formato de replanteo"]]))</f>
        <v>46142</v>
      </c>
      <c r="AC44" s="14">
        <f ca="1">IFERROR(IF(ACCIONES[[#This Row],[FECHA DE CIERRE]]&gt;TODAY(),1,""),"")</f>
        <v>1</v>
      </c>
      <c r="AD44" s="14" t="str">
        <f ca="1">IFERROR(IF(ACCIONES[[#This Row],[REPLANTEO '#1]]&gt;TODAY(),1,""),"")</f>
        <v/>
      </c>
      <c r="AE44" s="14" t="str">
        <f ca="1">IFERROR(IF(ACCIONES[[#This Row],[REPLANTEO '#2 "Formato de replanteo"]]&gt;TODAY(),1,""),"")</f>
        <v/>
      </c>
      <c r="AF44" s="14" t="str">
        <f ca="1">IFERROR(IF(ACCIONES[[#This Row],[REPLANTEO '#3]]&gt;TODAY(),1,""),"")</f>
        <v/>
      </c>
      <c r="AG44" s="14" t="str">
        <f>IFERROR(IF(ACCIONES[[#This Row],[ESTATUS]]="CIERRE",1,""),"")</f>
        <v/>
      </c>
      <c r="AH44" s="14" t="str">
        <f>IFERROR(IF(ACCIONES[[#This Row],[ESTATUS]]="CERRADA",1,""),"")</f>
        <v/>
      </c>
      <c r="AI44" s="14">
        <f ca="1">IF(ACCIONES[[#This Row],[ESTATUS]]="Abierta",COUNT(ACCIONES[[#This Row],[CÓDIGO 4 EN FECHA DE CIERRE ]:[CÓDIGO 9 ESTATUS CERRADA]]),"")</f>
        <v>1</v>
      </c>
      <c r="AJ44" s="14" cm="1">
        <f t="array" aca="1" ref="AJ4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3</v>
      </c>
      <c r="AK44" s="14" t="str" cm="1">
        <f t="array" aca="1" ref="AK4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4" s="14" t="str" cm="1">
        <f t="array" aca="1" ref="AL4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4" s="14" t="str" cm="1">
        <f t="array" aca="1" ref="AM4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4" s="14" t="b">
        <f ca="1">IFERROR(COUNTIF(ACCIONES[[#This Row],[CÓDIGO 11 POR VENCER FECHA CIERRE]:[CÓDIGO 14 FUERA DE REPLANTEO 3]],3)=1," ")</f>
        <v>1</v>
      </c>
      <c r="AO44" s="14" t="str">
        <f>IFERROR(VLOOKUP(ACCIONES[[#This Row],[DIRECCIÓN O GERENCIA]],AREAS[#All],3,0),"")</f>
        <v>agastelum@oomapasc.gob.mx, cflores@oomapasc.gob.mx</v>
      </c>
    </row>
    <row r="45" spans="3:41" ht="52.5">
      <c r="C45" s="71">
        <f>IF(ACCIONES[[#This Row],[FECHA DE APERTURA]]="","",YEAR(ACCIONES[[#This Row],[FECHA DE APERTURA]]))</f>
        <v>2025</v>
      </c>
      <c r="D45" s="71">
        <f>ROW()-1</f>
        <v>44</v>
      </c>
      <c r="E45" s="71"/>
      <c r="F45" s="14">
        <f t="shared" si="7"/>
        <v>31</v>
      </c>
      <c r="G45" s="15" t="str">
        <f>IF(ACCIONES[[#This Row],[FECHA DE APERTURA]]="","",IF(ACCIONES[[#This Row],[Columna1]]="","AC#"&amp;ACCIONES[[#This Row],[foliox]]&amp;"\"&amp;YEAR(ACCIONES[[#This Row],[FECHA DE APERTURA]]),ACCIONES[[#This Row],[Columna1]]))</f>
        <v>AC#31\2025</v>
      </c>
      <c r="H45" s="17">
        <v>45995</v>
      </c>
      <c r="I45" s="18" t="s">
        <v>377</v>
      </c>
      <c r="J45" s="60">
        <v>46073</v>
      </c>
      <c r="K45" s="60">
        <v>46125</v>
      </c>
      <c r="L45" s="60"/>
      <c r="M45" s="19"/>
      <c r="N45" s="20" t="s">
        <v>12</v>
      </c>
      <c r="O45" s="57" t="s">
        <v>339</v>
      </c>
      <c r="P45" s="21" t="s">
        <v>334</v>
      </c>
      <c r="Q45" s="21" t="s">
        <v>378</v>
      </c>
      <c r="R45" s="21"/>
      <c r="S45" s="59"/>
      <c r="T45" s="59"/>
      <c r="U45" s="72" t="str">
        <f>IF(ACCIONES[[#This Row],[Fecha Recibido]]="","",IF(NETWORKDAYS(ACCIONES[[#This Row],[Fecha entrega]],ACCIONES[[#This Row],[Fecha Recibido]])&lt;=5,1,0))</f>
        <v/>
      </c>
      <c r="V45" s="72" t="str">
        <f>IF(ACCIONES[[#This Row],[Fecha entrega]]="","",TEXT(ACCIONES[[#This Row],[Fecha entrega]],"MMMM"))</f>
        <v/>
      </c>
      <c r="W45" s="72" t="str">
        <f>IF(ACCIONES[[#This Row],[Fecha entrega]]="","",YEAR(ACCIONES[[#This Row],[Fecha entrega]]))</f>
        <v/>
      </c>
      <c r="X45" s="14" t="str">
        <f>IF(ACCIONES[[#This Row],[Fecha Recibido]]="","",TEXT(ACCIONES[[#This Row],[Fecha Recibido]],"mmmm"))</f>
        <v/>
      </c>
      <c r="Y45" s="14" t="str">
        <f>IF(ACCIONES[[#This Row],[Fecha Recibido]]="","",YEAR(ACCIONES[[#This Row],[Fecha Recibido]]))</f>
        <v/>
      </c>
      <c r="Z45" s="14" t="str">
        <f>_xlfn.CONCAT(ACCIONES[[#This Row],[DIRECCIÓN O GERENCIA]],ACCIONES[[#This Row],[ORIGEN]])</f>
        <v>Alcantarillado y SaneamientoAuditoría #10</v>
      </c>
      <c r="AA45" s="14" t="str">
        <f>_xlfn.CONCAT(ACCIONES[[#This Row],[DIRECCIÓN O GERENCIA]],ACCIONES[[#This Row],[ESTATUS]])</f>
        <v>Alcantarillado y SaneamientoAbierta</v>
      </c>
      <c r="AB45" s="168">
        <f>IF(ACCIONES[[#This Row],[ESTATUS]]="","",MAX(ACCIONES[[#This Row],[FECHA DE CIERRE]:[REPLANTEO '#2 "Formato de replanteo"]]))</f>
        <v>46125</v>
      </c>
      <c r="AC45" s="14" t="str">
        <f ca="1">IFERROR(IF(ACCIONES[[#This Row],[FECHA DE CIERRE]]&gt;TODAY(),1,""),"")</f>
        <v/>
      </c>
      <c r="AD45" s="14" t="str">
        <f ca="1">IFERROR(IF(ACCIONES[[#This Row],[REPLANTEO '#1]]&gt;TODAY(),1,""),"")</f>
        <v/>
      </c>
      <c r="AE45" s="14" t="str">
        <f ca="1">IFERROR(IF(ACCIONES[[#This Row],[REPLANTEO '#2 "Formato de replanteo"]]&gt;TODAY(),1,""),"")</f>
        <v/>
      </c>
      <c r="AF45" s="14" t="str">
        <f ca="1">IFERROR(IF(ACCIONES[[#This Row],[REPLANTEO '#3]]&gt;TODAY(),1,""),"")</f>
        <v/>
      </c>
      <c r="AG45" s="14" t="str">
        <f>IFERROR(IF(ACCIONES[[#This Row],[ESTATUS]]="CIERRE",1,""),"")</f>
        <v/>
      </c>
      <c r="AH45" s="14" t="str">
        <f>IFERROR(IF(ACCIONES[[#This Row],[ESTATUS]]="CERRADA",1,""),"")</f>
        <v/>
      </c>
      <c r="AI45" s="14">
        <f ca="1">IF(ACCIONES[[#This Row],[ESTATUS]]="Abierta",COUNT(ACCIONES[[#This Row],[CÓDIGO 4 EN FECHA DE CIERRE ]:[CÓDIGO 9 ESTATUS CERRADA]]),"")</f>
        <v>0</v>
      </c>
      <c r="AJ45" s="14" t="str" cm="1">
        <f t="array" aca="1" ref="AJ4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5" s="14" t="str" cm="1">
        <f t="array" aca="1" ref="AK4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5" s="14" t="str" cm="1">
        <f t="array" aca="1" ref="AL4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5" s="14" t="str" cm="1">
        <f t="array" aca="1" ref="AM4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5" s="14" t="b">
        <f ca="1">IFERROR(COUNTIF(ACCIONES[[#This Row],[CÓDIGO 11 POR VENCER FECHA CIERRE]:[CÓDIGO 14 FUERA DE REPLANTEO 3]],3)=1," ")</f>
        <v>0</v>
      </c>
      <c r="AO45" s="14" t="str">
        <f>IFERROR(VLOOKUP(ACCIONES[[#This Row],[DIRECCIÓN O GERENCIA]],AREAS[#All],3,0),"")</f>
        <v>agastelum@oomapasc.gob.mx, cflores@oomapasc.gob.mx</v>
      </c>
    </row>
    <row r="46" spans="3:41" ht="22.5" hidden="1" customHeight="1">
      <c r="C46" s="71">
        <f>IF(ACCIONES[[#This Row],[FECHA DE APERTURA]]="","",YEAR(ACCIONES[[#This Row],[FECHA DE APERTURA]]))</f>
        <v>2025</v>
      </c>
      <c r="D46" s="71">
        <f>ROW()-1</f>
        <v>45</v>
      </c>
      <c r="E46" s="71" t="s">
        <v>379</v>
      </c>
      <c r="F46" s="14" t="str">
        <f>IF(ACCIONES[[#This Row],[Columna1]]="",IF(YEAR(H46)=YEAR(H45),IF(ISNUMBER(F45),F45+1,1)),ACCIONES[[#This Row],[Columna1]])</f>
        <v>AVM-01</v>
      </c>
      <c r="G46" s="15" t="str">
        <f>IF(ACCIONES[[#This Row],[FECHA DE APERTURA]]="","",IF(ACCIONES[[#This Row],[Columna1]]="","AC#"&amp;ACCIONES[[#This Row],[foliox]]&amp;"\"&amp;YEAR(ACCIONES[[#This Row],[FECHA DE APERTURA]]),ACCIONES[[#This Row],[Columna1]]))</f>
        <v>AVM-01</v>
      </c>
      <c r="H46" s="17">
        <v>46007</v>
      </c>
      <c r="I46" s="18" t="s">
        <v>380</v>
      </c>
      <c r="J46" s="60">
        <v>46014</v>
      </c>
      <c r="K46" s="60"/>
      <c r="L46" s="60"/>
      <c r="M46" s="19"/>
      <c r="N46" s="20" t="s">
        <v>35</v>
      </c>
      <c r="O46" s="57" t="s">
        <v>218</v>
      </c>
      <c r="P46" s="21" t="s">
        <v>381</v>
      </c>
      <c r="Q46" s="21" t="s">
        <v>382</v>
      </c>
      <c r="R46" s="21" t="s">
        <v>162</v>
      </c>
      <c r="S46" s="21" t="s">
        <v>367</v>
      </c>
      <c r="T46" s="21" t="s">
        <v>383</v>
      </c>
      <c r="U46" s="72">
        <f>IF(ACCIONES[[#This Row],[Fecha Recibido]]="","",IF(NETWORKDAYS(ACCIONES[[#This Row],[Fecha entrega]],ACCIONES[[#This Row],[Fecha Recibido]])&lt;=5,1,0))</f>
        <v>1</v>
      </c>
      <c r="V46" s="72" t="str">
        <f>IF(ACCIONES[[#This Row],[Fecha entrega]]="","",TEXT(ACCIONES[[#This Row],[Fecha entrega]],"MMMM"))</f>
        <v>diciembre</v>
      </c>
      <c r="W46" s="72">
        <f>IF(ACCIONES[[#This Row],[Fecha entrega]]="","",YEAR(ACCIONES[[#This Row],[Fecha entrega]]))</f>
        <v>2025</v>
      </c>
      <c r="X46" s="14" t="str">
        <f>IF(ACCIONES[[#This Row],[Fecha Recibido]]="","",TEXT(ACCIONES[[#This Row],[Fecha Recibido]],"mmmm"))</f>
        <v>diciembre</v>
      </c>
      <c r="Y46" s="14">
        <f>IF(ACCIONES[[#This Row],[Fecha Recibido]]="","",YEAR(ACCIONES[[#This Row],[Fecha Recibido]]))</f>
        <v>2025</v>
      </c>
      <c r="Z46" s="14" t="str">
        <f>_xlfn.CONCAT(ACCIONES[[#This Row],[DIRECCIÓN O GERENCIA]],ACCIONES[[#This Row],[ORIGEN]])</f>
        <v xml:space="preserve">Sistema de Gestión de CalidadAuditoría Externa </v>
      </c>
      <c r="AA46" s="14" t="str">
        <f>_xlfn.CONCAT(ACCIONES[[#This Row],[DIRECCIÓN O GERENCIA]],ACCIONES[[#This Row],[ESTATUS]])</f>
        <v>Sistema de Gestión de CalidadCerrada</v>
      </c>
      <c r="AB46" s="168">
        <f>IF(ACCIONES[[#This Row],[ESTATUS]]="","",MAX(ACCIONES[[#This Row],[FECHA DE CIERRE]:[REPLANTEO '#2 "Formato de replanteo"]]))</f>
        <v>46014</v>
      </c>
      <c r="AC46" s="14" t="str">
        <f ca="1">IFERROR(IF(ACCIONES[[#This Row],[FECHA DE CIERRE]]&gt;TODAY(),1,""),"")</f>
        <v/>
      </c>
      <c r="AD46" s="14" t="str">
        <f ca="1">IFERROR(IF(ACCIONES[[#This Row],[REPLANTEO '#1]]&gt;TODAY(),1,""),"")</f>
        <v/>
      </c>
      <c r="AE46" s="14" t="str">
        <f ca="1">IFERROR(IF(ACCIONES[[#This Row],[REPLANTEO '#2 "Formato de replanteo"]]&gt;TODAY(),1,""),"")</f>
        <v/>
      </c>
      <c r="AF46" s="14" t="str">
        <f ca="1">IFERROR(IF(ACCIONES[[#This Row],[REPLANTEO '#3]]&gt;TODAY(),1,""),"")</f>
        <v/>
      </c>
      <c r="AG46" s="14" t="str">
        <f>IFERROR(IF(ACCIONES[[#This Row],[ESTATUS]]="CIERRE",1,""),"")</f>
        <v/>
      </c>
      <c r="AH46" s="14">
        <f>IFERROR(IF(ACCIONES[[#This Row],[ESTATUS]]="CERRADA",1,""),"")</f>
        <v>1</v>
      </c>
      <c r="AI46" s="14" t="str">
        <f>IF(ACCIONES[[#This Row],[ESTATUS]]="Abierta",COUNT(ACCIONES[[#This Row],[CÓDIGO 4 EN FECHA DE CIERRE ]:[CÓDIGO 9 ESTATUS CERRADA]]),"")</f>
        <v/>
      </c>
      <c r="AJ46" s="14" t="str" cm="1">
        <f t="array" aca="1" ref="AJ46"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6" s="14" t="str" cm="1">
        <f t="array" aca="1" ref="AK46"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6" s="14" t="str" cm="1">
        <f t="array" aca="1" ref="AL46"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6" s="14" t="str" cm="1">
        <f t="array" aca="1" ref="AM46"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6" s="14" t="b">
        <f ca="1">IFERROR(COUNTIF(ACCIONES[[#This Row],[CÓDIGO 11 POR VENCER FECHA CIERRE]:[CÓDIGO 14 FUERA DE REPLANTEO 3]],3)=1," ")</f>
        <v>0</v>
      </c>
      <c r="AO46" s="14">
        <f>IFERROR(VLOOKUP(ACCIONES[[#This Row],[DIRECCIÓN O GERENCIA]],AREAS[#All],3,0),"")</f>
        <v>0</v>
      </c>
    </row>
    <row r="47" spans="3:41" ht="22.5" customHeight="1">
      <c r="C47" s="71" t="str">
        <f>IF(ACCIONES[[#This Row],[FECHA DE APERTURA]]="","",YEAR(ACCIONES[[#This Row],[FECHA DE APERTURA]]))</f>
        <v/>
      </c>
      <c r="D47" s="71">
        <f>ROW()-1</f>
        <v>46</v>
      </c>
      <c r="E47" s="71"/>
      <c r="F47" s="14">
        <f>IF(YEAR(H47)=YEAR(H46), F46+1, 1)</f>
        <v>1</v>
      </c>
      <c r="G47" s="15" t="str">
        <f>IF(ACCIONES[[#This Row],[FECHA DE APERTURA]]="","",IF(ACCIONES[[#This Row],[Columna1]]="","AC#"&amp;ACCIONES[[#This Row],[foliox]]&amp;"\"&amp;YEAR(ACCIONES[[#This Row],[FECHA DE APERTURA]]),ACCIONES[[#This Row],[Columna1]]))</f>
        <v/>
      </c>
      <c r="H47" s="17"/>
      <c r="I47" s="117">
        <v>2026</v>
      </c>
      <c r="J47" s="60"/>
      <c r="K47" s="60"/>
      <c r="L47" s="60"/>
      <c r="M47" s="19"/>
      <c r="N47" s="20"/>
      <c r="O47" s="57"/>
      <c r="P47" s="21"/>
      <c r="Q47" s="21"/>
      <c r="R47" s="21"/>
      <c r="S47" s="59"/>
      <c r="T47" s="59"/>
      <c r="U47" s="72" t="str">
        <f>IF(ACCIONES[[#This Row],[Fecha Recibido]]="","",IF(NETWORKDAYS(ACCIONES[[#This Row],[Fecha entrega]],ACCIONES[[#This Row],[Fecha Recibido]])&lt;=5,1,0))</f>
        <v/>
      </c>
      <c r="V47" s="72" t="str">
        <f>IF(ACCIONES[[#This Row],[Fecha entrega]]="","",TEXT(ACCIONES[[#This Row],[Fecha entrega]],"MMMM"))</f>
        <v/>
      </c>
      <c r="W47" s="72" t="str">
        <f>IF(ACCIONES[[#This Row],[Fecha entrega]]="","",YEAR(ACCIONES[[#This Row],[Fecha entrega]]))</f>
        <v/>
      </c>
      <c r="X47" s="14" t="str">
        <f>IF(ACCIONES[[#This Row],[Fecha Recibido]]="","",TEXT(ACCIONES[[#This Row],[Fecha Recibido]],"mmmm"))</f>
        <v/>
      </c>
      <c r="Y47" s="14" t="str">
        <f>IF(ACCIONES[[#This Row],[Fecha Recibido]]="","",YEAR(ACCIONES[[#This Row],[Fecha Recibido]]))</f>
        <v/>
      </c>
      <c r="Z47" s="14" t="str">
        <f>_xlfn.CONCAT(ACCIONES[[#This Row],[DIRECCIÓN O GERENCIA]],ACCIONES[[#This Row],[ORIGEN]])</f>
        <v/>
      </c>
      <c r="AA47" s="14" t="str">
        <f>_xlfn.CONCAT(ACCIONES[[#This Row],[DIRECCIÓN O GERENCIA]],ACCIONES[[#This Row],[ESTATUS]])</f>
        <v/>
      </c>
      <c r="AB47" s="168" t="str">
        <f>IF(ACCIONES[[#This Row],[ESTATUS]]="","",MAX(ACCIONES[[#This Row],[FECHA DE CIERRE]:[REPLANTEO '#2 "Formato de replanteo"]]))</f>
        <v/>
      </c>
      <c r="AC47" s="14" t="str">
        <f ca="1">IFERROR(IF(ACCIONES[[#This Row],[FECHA DE CIERRE]]&gt;TODAY(),1,""),"")</f>
        <v/>
      </c>
      <c r="AD47" s="14" t="str">
        <f ca="1">IFERROR(IF(ACCIONES[[#This Row],[REPLANTEO '#1]]&gt;TODAY(),1,""),"")</f>
        <v/>
      </c>
      <c r="AE47" s="14" t="str">
        <f ca="1">IFERROR(IF(ACCIONES[[#This Row],[REPLANTEO '#2 "Formato de replanteo"]]&gt;TODAY(),1,""),"")</f>
        <v/>
      </c>
      <c r="AF47" s="14" t="str">
        <f ca="1">IFERROR(IF(ACCIONES[[#This Row],[REPLANTEO '#3]]&gt;TODAY(),1,""),"")</f>
        <v/>
      </c>
      <c r="AG47" s="14" t="str">
        <f>IFERROR(IF(ACCIONES[[#This Row],[ESTATUS]]="CIERRE",1,""),"")</f>
        <v/>
      </c>
      <c r="AH47" s="14" t="str">
        <f>IFERROR(IF(ACCIONES[[#This Row],[ESTATUS]]="CERRADA",1,""),"")</f>
        <v/>
      </c>
      <c r="AI47" s="14" t="str">
        <f>IF(ACCIONES[[#This Row],[ESTATUS]]="Abierta",COUNT(ACCIONES[[#This Row],[CÓDIGO 4 EN FECHA DE CIERRE ]:[CÓDIGO 9 ESTATUS CERRADA]]),"")</f>
        <v/>
      </c>
      <c r="AJ47" s="14" t="str" cm="1">
        <f t="array" aca="1" ref="AJ4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7" s="14" t="str" cm="1">
        <f t="array" aca="1" ref="AK4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7" s="14" t="str" cm="1">
        <f t="array" aca="1" ref="AL4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7" s="14" t="str" cm="1">
        <f t="array" aca="1" ref="AM4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7" s="14" t="b">
        <f ca="1">IFERROR(COUNTIF(ACCIONES[[#This Row],[CÓDIGO 11 POR VENCER FECHA CIERRE]:[CÓDIGO 14 FUERA DE REPLANTEO 3]],3)=1," ")</f>
        <v>0</v>
      </c>
      <c r="AO47" s="14" t="str">
        <f>IFERROR(VLOOKUP(ACCIONES[[#This Row],[DIRECCIÓN O GERENCIA]],AREAS[#All],3,0),"")</f>
        <v/>
      </c>
    </row>
    <row r="48" spans="3:41" ht="63" hidden="1">
      <c r="C48" s="71">
        <f>IF(ACCIONES[[#This Row],[FECHA DE APERTURA]]="","",YEAR(ACCIONES[[#This Row],[FECHA DE APERTURA]]))</f>
        <v>2026</v>
      </c>
      <c r="D48" s="71">
        <f t="shared" ref="D48:D54" si="8">ROW()-1</f>
        <v>47</v>
      </c>
      <c r="E48" s="71" t="s">
        <v>384</v>
      </c>
      <c r="F48" s="14" t="str">
        <f>IF(ACCIONES[[#This Row],[Columna1]]="",IF(YEAR(H48)=YEAR(H46),IF(ISNUMBER(F46),F46+1,1)),ACCIONES[[#This Row],[Columna1]])</f>
        <v>AVM-02</v>
      </c>
      <c r="G48" s="15" t="str">
        <f>IF(ACCIONES[[#This Row],[FECHA DE APERTURA]]="","",IF(ACCIONES[[#This Row],[Columna1]]="","AC#"&amp;ACCIONES[[#This Row],[foliox]]&amp;"\"&amp;YEAR(ACCIONES[[#This Row],[FECHA DE APERTURA]]),ACCIONES[[#This Row],[Columna1]]))</f>
        <v>AVM-02</v>
      </c>
      <c r="H48" s="17">
        <v>46030</v>
      </c>
      <c r="I48" s="18" t="s">
        <v>385</v>
      </c>
      <c r="J48" s="60">
        <v>46056</v>
      </c>
      <c r="K48" s="60"/>
      <c r="L48" s="60"/>
      <c r="M48" s="19"/>
      <c r="N48" s="20" t="s">
        <v>35</v>
      </c>
      <c r="O48" s="57" t="s">
        <v>218</v>
      </c>
      <c r="P48" s="21" t="s">
        <v>381</v>
      </c>
      <c r="Q48" s="21" t="s">
        <v>382</v>
      </c>
      <c r="R48" s="21" t="s">
        <v>176</v>
      </c>
      <c r="S48" s="59">
        <v>46072</v>
      </c>
      <c r="T48" s="59">
        <v>46073</v>
      </c>
      <c r="U48" s="72">
        <f>IF(ACCIONES[[#This Row],[Fecha Recibido]]="","",IF(NETWORKDAYS(ACCIONES[[#This Row],[Fecha entrega]],ACCIONES[[#This Row],[Fecha Recibido]])&lt;=5,1,0))</f>
        <v>1</v>
      </c>
      <c r="V48" s="72" t="str">
        <f>IF(ACCIONES[[#This Row],[Fecha entrega]]="","",TEXT(ACCIONES[[#This Row],[Fecha entrega]],"MMMM"))</f>
        <v>febrero</v>
      </c>
      <c r="W48" s="72">
        <f>IF(ACCIONES[[#This Row],[Fecha entrega]]="","",YEAR(ACCIONES[[#This Row],[Fecha entrega]]))</f>
        <v>2026</v>
      </c>
      <c r="X48" s="14" t="str">
        <f>IF(ACCIONES[[#This Row],[Fecha Recibido]]="","",TEXT(ACCIONES[[#This Row],[Fecha Recibido]],"mmmm"))</f>
        <v>febrero</v>
      </c>
      <c r="Y48" s="14">
        <f>IF(ACCIONES[[#This Row],[Fecha Recibido]]="","",YEAR(ACCIONES[[#This Row],[Fecha Recibido]]))</f>
        <v>2026</v>
      </c>
      <c r="Z48" s="14" t="str">
        <f>_xlfn.CONCAT(ACCIONES[[#This Row],[DIRECCIÓN O GERENCIA]],ACCIONES[[#This Row],[ORIGEN]])</f>
        <v xml:space="preserve">Sistema de Gestión de CalidadAuditoría Externa </v>
      </c>
      <c r="AA48" s="14" t="str">
        <f>_xlfn.CONCAT(ACCIONES[[#This Row],[DIRECCIÓN O GERENCIA]],ACCIONES[[#This Row],[ESTATUS]])</f>
        <v>Sistema de Gestión de CalidadCerrada</v>
      </c>
      <c r="AB48" s="168">
        <f>IF(ACCIONES[[#This Row],[ESTATUS]]="","",MAX(ACCIONES[[#This Row],[FECHA DE CIERRE]:[REPLANTEO '#2 "Formato de replanteo"]]))</f>
        <v>46056</v>
      </c>
      <c r="AC48" s="14" t="str">
        <f ca="1">IFERROR(IF(ACCIONES[[#This Row],[FECHA DE CIERRE]]&gt;TODAY(),1,""),"")</f>
        <v/>
      </c>
      <c r="AD48" s="14" t="str">
        <f ca="1">IFERROR(IF(ACCIONES[[#This Row],[REPLANTEO '#1]]&gt;TODAY(),1,""),"")</f>
        <v/>
      </c>
      <c r="AE48" s="14" t="str">
        <f ca="1">IFERROR(IF(ACCIONES[[#This Row],[REPLANTEO '#2 "Formato de replanteo"]]&gt;TODAY(),1,""),"")</f>
        <v/>
      </c>
      <c r="AF48" s="14" t="str">
        <f ca="1">IFERROR(IF(ACCIONES[[#This Row],[REPLANTEO '#3]]&gt;TODAY(),1,""),"")</f>
        <v/>
      </c>
      <c r="AG48" s="14" t="str">
        <f>IFERROR(IF(ACCIONES[[#This Row],[ESTATUS]]="CIERRE",1,""),"")</f>
        <v/>
      </c>
      <c r="AH48" s="14">
        <f>IFERROR(IF(ACCIONES[[#This Row],[ESTATUS]]="CERRADA",1,""),"")</f>
        <v>1</v>
      </c>
      <c r="AI48" s="14" t="str">
        <f>IF(ACCIONES[[#This Row],[ESTATUS]]="Abierta",COUNT(ACCIONES[[#This Row],[CÓDIGO 4 EN FECHA DE CIERRE ]:[CÓDIGO 9 ESTATUS CERRADA]]),"")</f>
        <v/>
      </c>
      <c r="AJ48" s="14" t="str" cm="1">
        <f t="array" aca="1" ref="AJ4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8" s="14" t="str" cm="1">
        <f t="array" aca="1" ref="AK4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8" s="14" t="str" cm="1">
        <f t="array" aca="1" ref="AL4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8" s="14" t="str" cm="1">
        <f t="array" aca="1" ref="AM4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8" s="14" t="b">
        <f ca="1">IFERROR(COUNTIF(ACCIONES[[#This Row],[CÓDIGO 11 POR VENCER FECHA CIERRE]:[CÓDIGO 14 FUERA DE REPLANTEO 3]],3)=1," ")</f>
        <v>0</v>
      </c>
      <c r="AO48" s="14">
        <f>IFERROR(VLOOKUP(ACCIONES[[#This Row],[DIRECCIÓN O GERENCIA]],AREAS[#All],3,0),"")</f>
        <v>0</v>
      </c>
    </row>
    <row r="49" spans="3:41" ht="84" hidden="1">
      <c r="C49" s="71">
        <f>IF(ACCIONES[[#This Row],[FECHA DE APERTURA]]="","",YEAR(ACCIONES[[#This Row],[FECHA DE APERTURA]]))</f>
        <v>2026</v>
      </c>
      <c r="D49" s="71">
        <f t="shared" si="8"/>
        <v>48</v>
      </c>
      <c r="E49" s="71" t="s">
        <v>386</v>
      </c>
      <c r="F49" s="14" t="str">
        <f>IF(ACCIONES[[#This Row],[Columna1]]="",IF(YEAR(H49)=YEAR(H48),IF(ISNUMBER(F48),F48+1,1)),ACCIONES[[#This Row],[Columna1]])</f>
        <v>AVM-03</v>
      </c>
      <c r="G49" s="15" t="str">
        <f>IF(ACCIONES[[#This Row],[FECHA DE APERTURA]]="","",IF(ACCIONES[[#This Row],[Columna1]]="","AC#"&amp;ACCIONES[[#This Row],[foliox]]&amp;"\"&amp;YEAR(ACCIONES[[#This Row],[FECHA DE APERTURA]]),ACCIONES[[#This Row],[Columna1]]))</f>
        <v>AVM-03</v>
      </c>
      <c r="H49" s="17">
        <v>46029</v>
      </c>
      <c r="I49" s="18" t="s">
        <v>387</v>
      </c>
      <c r="J49" s="60">
        <v>46091</v>
      </c>
      <c r="K49" s="60"/>
      <c r="L49" s="60"/>
      <c r="M49" s="19"/>
      <c r="N49" s="20" t="s">
        <v>35</v>
      </c>
      <c r="O49" s="57" t="s">
        <v>218</v>
      </c>
      <c r="P49" s="21" t="s">
        <v>381</v>
      </c>
      <c r="Q49" s="21" t="s">
        <v>382</v>
      </c>
      <c r="R49" s="21" t="s">
        <v>167</v>
      </c>
      <c r="S49" s="59">
        <v>46108</v>
      </c>
      <c r="T49" s="59">
        <v>46112</v>
      </c>
      <c r="U49" s="72">
        <f>IF(ACCIONES[[#This Row],[Fecha Recibido]]="","",IF(NETWORKDAYS(ACCIONES[[#This Row],[Fecha entrega]],ACCIONES[[#This Row],[Fecha Recibido]])&lt;=5,1,0))</f>
        <v>1</v>
      </c>
      <c r="V49" s="72" t="str">
        <f>IF(ACCIONES[[#This Row],[Fecha entrega]]="","",TEXT(ACCIONES[[#This Row],[Fecha entrega]],"MMMM"))</f>
        <v>marzo</v>
      </c>
      <c r="W49" s="72">
        <f>IF(ACCIONES[[#This Row],[Fecha entrega]]="","",YEAR(ACCIONES[[#This Row],[Fecha entrega]]))</f>
        <v>2026</v>
      </c>
      <c r="X49" s="14" t="str">
        <f>IF(ACCIONES[[#This Row],[Fecha Recibido]]="","",TEXT(ACCIONES[[#This Row],[Fecha Recibido]],"mmmm"))</f>
        <v>marzo</v>
      </c>
      <c r="Y49" s="14">
        <f>IF(ACCIONES[[#This Row],[Fecha Recibido]]="","",YEAR(ACCIONES[[#This Row],[Fecha Recibido]]))</f>
        <v>2026</v>
      </c>
      <c r="Z49" s="14" t="str">
        <f>_xlfn.CONCAT(ACCIONES[[#This Row],[DIRECCIÓN O GERENCIA]],ACCIONES[[#This Row],[ORIGEN]])</f>
        <v xml:space="preserve">Sistema de Gestión de CalidadAuditoría Externa </v>
      </c>
      <c r="AA49" s="14" t="str">
        <f>_xlfn.CONCAT(ACCIONES[[#This Row],[DIRECCIÓN O GERENCIA]],ACCIONES[[#This Row],[ESTATUS]])</f>
        <v>Sistema de Gestión de CalidadCerrada</v>
      </c>
      <c r="AB49" s="168">
        <f>IF(ACCIONES[[#This Row],[ESTATUS]]="","",MAX(ACCIONES[[#This Row],[FECHA DE CIERRE]:[REPLANTEO '#2 "Formato de replanteo"]]))</f>
        <v>46091</v>
      </c>
      <c r="AC49" s="14" t="str">
        <f ca="1">IFERROR(IF(ACCIONES[[#This Row],[FECHA DE CIERRE]]&gt;TODAY(),1,""),"")</f>
        <v/>
      </c>
      <c r="AD49" s="14" t="str">
        <f ca="1">IFERROR(IF(ACCIONES[[#This Row],[REPLANTEO '#1]]&gt;TODAY(),1,""),"")</f>
        <v/>
      </c>
      <c r="AE49" s="14" t="str">
        <f ca="1">IFERROR(IF(ACCIONES[[#This Row],[REPLANTEO '#2 "Formato de replanteo"]]&gt;TODAY(),1,""),"")</f>
        <v/>
      </c>
      <c r="AF49" s="14" t="str">
        <f ca="1">IFERROR(IF(ACCIONES[[#This Row],[REPLANTEO '#3]]&gt;TODAY(),1,""),"")</f>
        <v/>
      </c>
      <c r="AG49" s="14" t="str">
        <f>IFERROR(IF(ACCIONES[[#This Row],[ESTATUS]]="CIERRE",1,""),"")</f>
        <v/>
      </c>
      <c r="AH49" s="14">
        <f>IFERROR(IF(ACCIONES[[#This Row],[ESTATUS]]="CERRADA",1,""),"")</f>
        <v>1</v>
      </c>
      <c r="AI49" s="14" t="str">
        <f>IF(ACCIONES[[#This Row],[ESTATUS]]="Abierta",COUNT(ACCIONES[[#This Row],[CÓDIGO 4 EN FECHA DE CIERRE ]:[CÓDIGO 9 ESTATUS CERRADA]]),"")</f>
        <v/>
      </c>
      <c r="AJ49" s="14" t="str" cm="1">
        <f t="array" aca="1" ref="AJ4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49" s="14" t="str" cm="1">
        <f t="array" aca="1" ref="AK4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49" s="14" t="str" cm="1">
        <f t="array" aca="1" ref="AL4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49" s="14" t="str" cm="1">
        <f t="array" aca="1" ref="AM4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49" s="14" t="b">
        <f ca="1">IFERROR(COUNTIF(ACCIONES[[#This Row],[CÓDIGO 11 POR VENCER FECHA CIERRE]:[CÓDIGO 14 FUERA DE REPLANTEO 3]],3)=1," ")</f>
        <v>0</v>
      </c>
      <c r="AO49" s="14">
        <f>IFERROR(VLOOKUP(ACCIONES[[#This Row],[DIRECCIÓN O GERENCIA]],AREAS[#All],3,0),"")</f>
        <v>0</v>
      </c>
    </row>
    <row r="50" spans="3:41" ht="157.5" hidden="1">
      <c r="C50" s="71">
        <f>IF(ACCIONES[[#This Row],[FECHA DE APERTURA]]="","",YEAR(ACCIONES[[#This Row],[FECHA DE APERTURA]]))</f>
        <v>2026</v>
      </c>
      <c r="D50" s="71">
        <f t="shared" si="8"/>
        <v>49</v>
      </c>
      <c r="E50" s="71" t="s">
        <v>388</v>
      </c>
      <c r="F50" s="14" t="str">
        <f>IF(ACCIONES[[#This Row],[Columna1]]="",IF(YEAR(H50)=YEAR(H49),IF(ISNUMBER(F49),F49+1,1)),ACCIONES[[#This Row],[Columna1]])</f>
        <v>AVM-04</v>
      </c>
      <c r="G50" s="15" t="str">
        <f>IF(ACCIONES[[#This Row],[FECHA DE APERTURA]]="","",IF(ACCIONES[[#This Row],[Columna1]]="","AC#"&amp;ACCIONES[[#This Row],[foliox]]&amp;"\"&amp;YEAR(ACCIONES[[#This Row],[FECHA DE APERTURA]]),ACCIONES[[#This Row],[Columna1]]))</f>
        <v>AVM-04</v>
      </c>
      <c r="H50" s="17">
        <v>46028</v>
      </c>
      <c r="I50" s="18" t="s">
        <v>389</v>
      </c>
      <c r="J50" s="60">
        <v>46119</v>
      </c>
      <c r="K50" s="60"/>
      <c r="L50" s="60"/>
      <c r="M50" s="19"/>
      <c r="N50" s="20" t="s">
        <v>72</v>
      </c>
      <c r="O50" s="57" t="s">
        <v>218</v>
      </c>
      <c r="P50" s="21" t="s">
        <v>381</v>
      </c>
      <c r="Q50" s="21" t="s">
        <v>382</v>
      </c>
      <c r="R50" s="21" t="s">
        <v>158</v>
      </c>
      <c r="S50" s="59">
        <v>46107</v>
      </c>
      <c r="T50" s="59">
        <v>46108</v>
      </c>
      <c r="U50" s="72">
        <f>IF(ACCIONES[[#This Row],[Fecha Recibido]]="","",IF(NETWORKDAYS(ACCIONES[[#This Row],[Fecha entrega]],ACCIONES[[#This Row],[Fecha Recibido]])&lt;=5,1,0))</f>
        <v>1</v>
      </c>
      <c r="V50" s="72" t="str">
        <f>IF(ACCIONES[[#This Row],[Fecha entrega]]="","",TEXT(ACCIONES[[#This Row],[Fecha entrega]],"MMMM"))</f>
        <v>marzo</v>
      </c>
      <c r="W50" s="72">
        <f>IF(ACCIONES[[#This Row],[Fecha entrega]]="","",YEAR(ACCIONES[[#This Row],[Fecha entrega]]))</f>
        <v>2026</v>
      </c>
      <c r="X50" s="14" t="str">
        <f>IF(ACCIONES[[#This Row],[Fecha Recibido]]="","",TEXT(ACCIONES[[#This Row],[Fecha Recibido]],"mmmm"))</f>
        <v>marzo</v>
      </c>
      <c r="Y50" s="14">
        <f>IF(ACCIONES[[#This Row],[Fecha Recibido]]="","",YEAR(ACCIONES[[#This Row],[Fecha Recibido]]))</f>
        <v>2026</v>
      </c>
      <c r="Z50" s="14" t="str">
        <f>_xlfn.CONCAT(ACCIONES[[#This Row],[DIRECCIÓN O GERENCIA]],ACCIONES[[#This Row],[ORIGEN]])</f>
        <v xml:space="preserve">Recursos MaterialesAuditoría Externa </v>
      </c>
      <c r="AA50" s="14" t="str">
        <f>_xlfn.CONCAT(ACCIONES[[#This Row],[DIRECCIÓN O GERENCIA]],ACCIONES[[#This Row],[ESTATUS]])</f>
        <v>Recursos MaterialesCerrada</v>
      </c>
      <c r="AB50" s="168">
        <f>IF(ACCIONES[[#This Row],[ESTATUS]]="","",MAX(ACCIONES[[#This Row],[FECHA DE CIERRE]:[REPLANTEO '#2 "Formato de replanteo"]]))</f>
        <v>46119</v>
      </c>
      <c r="AC50" s="14" t="str">
        <f ca="1">IFERROR(IF(ACCIONES[[#This Row],[FECHA DE CIERRE]]&gt;TODAY(),1,""),"")</f>
        <v/>
      </c>
      <c r="AD50" s="14" t="str">
        <f ca="1">IFERROR(IF(ACCIONES[[#This Row],[REPLANTEO '#1]]&gt;TODAY(),1,""),"")</f>
        <v/>
      </c>
      <c r="AE50" s="14" t="str">
        <f ca="1">IFERROR(IF(ACCIONES[[#This Row],[REPLANTEO '#2 "Formato de replanteo"]]&gt;TODAY(),1,""),"")</f>
        <v/>
      </c>
      <c r="AF50" s="14" t="str">
        <f ca="1">IFERROR(IF(ACCIONES[[#This Row],[REPLANTEO '#3]]&gt;TODAY(),1,""),"")</f>
        <v/>
      </c>
      <c r="AG50" s="14" t="str">
        <f>IFERROR(IF(ACCIONES[[#This Row],[ESTATUS]]="CIERRE",1,""),"")</f>
        <v/>
      </c>
      <c r="AH50" s="14">
        <f>IFERROR(IF(ACCIONES[[#This Row],[ESTATUS]]="CERRADA",1,""),"")</f>
        <v>1</v>
      </c>
      <c r="AI50" s="14" t="str">
        <f>IF(ACCIONES[[#This Row],[ESTATUS]]="Abierta",COUNT(ACCIONES[[#This Row],[CÓDIGO 4 EN FECHA DE CIERRE ]:[CÓDIGO 9 ESTATUS CERRADA]]),"")</f>
        <v/>
      </c>
      <c r="AJ50" s="14" t="str" cm="1">
        <f t="array" aca="1" ref="AJ5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50" s="14" t="str" cm="1">
        <f t="array" aca="1" ref="AK5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0" s="14" t="str" cm="1">
        <f t="array" aca="1" ref="AL5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0" s="14" t="str" cm="1">
        <f t="array" aca="1" ref="AM5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0" s="14" t="b">
        <f ca="1">IFERROR(COUNTIF(ACCIONES[[#This Row],[CÓDIGO 11 POR VENCER FECHA CIERRE]:[CÓDIGO 14 FUERA DE REPLANTEO 3]],3)=1," ")</f>
        <v>0</v>
      </c>
      <c r="AO50" s="14" t="str">
        <f>IFERROR(VLOOKUP(ACCIONES[[#This Row],[DIRECCIÓN O GERENCIA]],AREAS[#All],3,0),"")</f>
        <v>kbojorquez@oomapasc.gob.mx, proveedores@oomapasc.gob.mx, dgalarza@oomapasc.gob.mx</v>
      </c>
    </row>
    <row r="51" spans="3:41" ht="94.5" hidden="1">
      <c r="C51" s="71">
        <f>IF(ACCIONES[[#This Row],[FECHA DE APERTURA]]="","",YEAR(ACCIONES[[#This Row],[FECHA DE APERTURA]]))</f>
        <v>2026</v>
      </c>
      <c r="D51" s="71">
        <f t="shared" si="8"/>
        <v>50</v>
      </c>
      <c r="E51" s="71" t="s">
        <v>390</v>
      </c>
      <c r="F51" s="14" t="str">
        <f>IF(ACCIONES[[#This Row],[Columna1]]="",IF(YEAR(H51)=YEAR(H50),IF(ISNUMBER(F50),F50+1,1)),ACCIONES[[#This Row],[Columna1]])</f>
        <v>AVM-05</v>
      </c>
      <c r="G51" s="15" t="str">
        <f>IF(ACCIONES[[#This Row],[FECHA DE APERTURA]]="","",IF(ACCIONES[[#This Row],[Columna1]]="","AC#"&amp;ACCIONES[[#This Row],[foliox]]&amp;"\"&amp;YEAR(ACCIONES[[#This Row],[FECHA DE APERTURA]]),ACCIONES[[#This Row],[Columna1]]))</f>
        <v>AVM-05</v>
      </c>
      <c r="H51" s="17">
        <v>46029</v>
      </c>
      <c r="I51" s="18" t="s">
        <v>391</v>
      </c>
      <c r="J51" s="60">
        <v>46086</v>
      </c>
      <c r="K51" s="60"/>
      <c r="L51" s="60"/>
      <c r="M51" s="19"/>
      <c r="N51" s="20" t="s">
        <v>35</v>
      </c>
      <c r="O51" s="57" t="s">
        <v>218</v>
      </c>
      <c r="P51" s="21" t="s">
        <v>381</v>
      </c>
      <c r="Q51" s="21" t="s">
        <v>382</v>
      </c>
      <c r="R51" s="21" t="s">
        <v>163</v>
      </c>
      <c r="S51" s="59">
        <v>46107</v>
      </c>
      <c r="T51" s="59">
        <v>46108</v>
      </c>
      <c r="U51" s="72">
        <f>IF(ACCIONES[[#This Row],[Fecha Recibido]]="","",IF(NETWORKDAYS(ACCIONES[[#This Row],[Fecha entrega]],ACCIONES[[#This Row],[Fecha Recibido]])&lt;=5,1,0))</f>
        <v>1</v>
      </c>
      <c r="V51" s="72" t="str">
        <f>IF(ACCIONES[[#This Row],[Fecha entrega]]="","",TEXT(ACCIONES[[#This Row],[Fecha entrega]],"MMMM"))</f>
        <v>marzo</v>
      </c>
      <c r="W51" s="72">
        <f>IF(ACCIONES[[#This Row],[Fecha entrega]]="","",YEAR(ACCIONES[[#This Row],[Fecha entrega]]))</f>
        <v>2026</v>
      </c>
      <c r="X51" s="14" t="str">
        <f>IF(ACCIONES[[#This Row],[Fecha Recibido]]="","",TEXT(ACCIONES[[#This Row],[Fecha Recibido]],"mmmm"))</f>
        <v>marzo</v>
      </c>
      <c r="Y51" s="14">
        <f>IF(ACCIONES[[#This Row],[Fecha Recibido]]="","",YEAR(ACCIONES[[#This Row],[Fecha Recibido]]))</f>
        <v>2026</v>
      </c>
      <c r="Z51" s="14" t="str">
        <f>_xlfn.CONCAT(ACCIONES[[#This Row],[DIRECCIÓN O GERENCIA]],ACCIONES[[#This Row],[ORIGEN]])</f>
        <v xml:space="preserve">Sistema de Gestión de CalidadAuditoría Externa </v>
      </c>
      <c r="AA51" s="14" t="str">
        <f>_xlfn.CONCAT(ACCIONES[[#This Row],[DIRECCIÓN O GERENCIA]],ACCIONES[[#This Row],[ESTATUS]])</f>
        <v>Sistema de Gestión de CalidadCerrada</v>
      </c>
      <c r="AB51" s="168">
        <f>IF(ACCIONES[[#This Row],[ESTATUS]]="","",MAX(ACCIONES[[#This Row],[FECHA DE CIERRE]:[REPLANTEO '#2 "Formato de replanteo"]]))</f>
        <v>46086</v>
      </c>
      <c r="AC51" s="14" t="str">
        <f ca="1">IFERROR(IF(ACCIONES[[#This Row],[FECHA DE CIERRE]]&gt;TODAY(),1,""),"")</f>
        <v/>
      </c>
      <c r="AD51" s="14" t="str">
        <f ca="1">IFERROR(IF(ACCIONES[[#This Row],[REPLANTEO '#1]]&gt;TODAY(),1,""),"")</f>
        <v/>
      </c>
      <c r="AE51" s="14" t="str">
        <f ca="1">IFERROR(IF(ACCIONES[[#This Row],[REPLANTEO '#2 "Formato de replanteo"]]&gt;TODAY(),1,""),"")</f>
        <v/>
      </c>
      <c r="AF51" s="14" t="str">
        <f ca="1">IFERROR(IF(ACCIONES[[#This Row],[REPLANTEO '#3]]&gt;TODAY(),1,""),"")</f>
        <v/>
      </c>
      <c r="AG51" s="14" t="str">
        <f>IFERROR(IF(ACCIONES[[#This Row],[ESTATUS]]="CIERRE",1,""),"")</f>
        <v/>
      </c>
      <c r="AH51" s="14">
        <f>IFERROR(IF(ACCIONES[[#This Row],[ESTATUS]]="CERRADA",1,""),"")</f>
        <v>1</v>
      </c>
      <c r="AI51" s="14" t="str">
        <f>IF(ACCIONES[[#This Row],[ESTATUS]]="Abierta",COUNT(ACCIONES[[#This Row],[CÓDIGO 4 EN FECHA DE CIERRE ]:[CÓDIGO 9 ESTATUS CERRADA]]),"")</f>
        <v/>
      </c>
      <c r="AJ51" s="14" t="str" cm="1">
        <f t="array" aca="1" ref="AJ5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51" s="14" t="str" cm="1">
        <f t="array" aca="1" ref="AK5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1" s="14" t="str" cm="1">
        <f t="array" aca="1" ref="AL5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1" s="14" t="str" cm="1">
        <f t="array" aca="1" ref="AM5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1" s="14" t="b">
        <f ca="1">IFERROR(COUNTIF(ACCIONES[[#This Row],[CÓDIGO 11 POR VENCER FECHA CIERRE]:[CÓDIGO 14 FUERA DE REPLANTEO 3]],3)=1," ")</f>
        <v>0</v>
      </c>
      <c r="AO51" s="14">
        <f>IFERROR(VLOOKUP(ACCIONES[[#This Row],[DIRECCIÓN O GERENCIA]],AREAS[#All],3,0),"")</f>
        <v>0</v>
      </c>
    </row>
    <row r="52" spans="3:41" ht="73.5">
      <c r="C52" s="71">
        <f>IF(ACCIONES[[#This Row],[FECHA DE APERTURA]]="","",YEAR(ACCIONES[[#This Row],[FECHA DE APERTURA]]))</f>
        <v>2026</v>
      </c>
      <c r="D52" s="71">
        <f t="shared" si="8"/>
        <v>51</v>
      </c>
      <c r="E52" s="71" t="s">
        <v>392</v>
      </c>
      <c r="F52" s="14" t="str">
        <f>IF(ACCIONES[[#This Row],[Columna1]]="",IF(YEAR(H52)=YEAR(H51),IF(ISNUMBER(F51),F51+1,1)),ACCIONES[[#This Row],[Columna1]])</f>
        <v>AVM-06</v>
      </c>
      <c r="G52" s="15" t="str">
        <f>IF(ACCIONES[[#This Row],[FECHA DE APERTURA]]="","",IF(ACCIONES[[#This Row],[Columna1]]="","AC#"&amp;ACCIONES[[#This Row],[foliox]]&amp;"\"&amp;YEAR(ACCIONES[[#This Row],[FECHA DE APERTURA]]),ACCIONES[[#This Row],[Columna1]]))</f>
        <v>AVM-06</v>
      </c>
      <c r="H52" s="17">
        <v>46029</v>
      </c>
      <c r="I52" s="18" t="s">
        <v>393</v>
      </c>
      <c r="J52" s="60">
        <v>46176</v>
      </c>
      <c r="K52" s="60"/>
      <c r="L52" s="60"/>
      <c r="M52" s="19"/>
      <c r="N52" s="20" t="s">
        <v>75</v>
      </c>
      <c r="O52" s="57" t="s">
        <v>339</v>
      </c>
      <c r="P52" s="21" t="s">
        <v>381</v>
      </c>
      <c r="Q52" s="21" t="s">
        <v>382</v>
      </c>
      <c r="R52" s="21"/>
      <c r="S52" s="59"/>
      <c r="T52" s="59"/>
      <c r="U52" s="72" t="str">
        <f>IF(ACCIONES[[#This Row],[Fecha Recibido]]="","",IF(NETWORKDAYS(ACCIONES[[#This Row],[Fecha entrega]],ACCIONES[[#This Row],[Fecha Recibido]])&lt;=5,1,0))</f>
        <v/>
      </c>
      <c r="V52" s="72" t="str">
        <f>IF(ACCIONES[[#This Row],[Fecha entrega]]="","",TEXT(ACCIONES[[#This Row],[Fecha entrega]],"MMMM"))</f>
        <v/>
      </c>
      <c r="W52" s="72" t="str">
        <f>IF(ACCIONES[[#This Row],[Fecha entrega]]="","",YEAR(ACCIONES[[#This Row],[Fecha entrega]]))</f>
        <v/>
      </c>
      <c r="X52" s="14" t="str">
        <f>IF(ACCIONES[[#This Row],[Fecha Recibido]]="","",TEXT(ACCIONES[[#This Row],[Fecha Recibido]],"mmmm"))</f>
        <v/>
      </c>
      <c r="Y52" s="14" t="str">
        <f>IF(ACCIONES[[#This Row],[Fecha Recibido]]="","",YEAR(ACCIONES[[#This Row],[Fecha Recibido]]))</f>
        <v/>
      </c>
      <c r="Z52" s="14" t="str">
        <f>_xlfn.CONCAT(ACCIONES[[#This Row],[DIRECCIÓN O GERENCIA]],ACCIONES[[#This Row],[ORIGEN]])</f>
        <v xml:space="preserve">Recursos HumanosAuditoría Externa </v>
      </c>
      <c r="AA52" s="14" t="str">
        <f>_xlfn.CONCAT(ACCIONES[[#This Row],[DIRECCIÓN O GERENCIA]],ACCIONES[[#This Row],[ESTATUS]])</f>
        <v>Recursos HumanosAbierta</v>
      </c>
      <c r="AB52" s="168">
        <f>IF(ACCIONES[[#This Row],[ESTATUS]]="","",MAX(ACCIONES[[#This Row],[FECHA DE CIERRE]:[REPLANTEO '#2 "Formato de replanteo"]]))</f>
        <v>46176</v>
      </c>
      <c r="AC52" s="14">
        <f ca="1">IFERROR(IF(ACCIONES[[#This Row],[FECHA DE CIERRE]]&gt;TODAY(),1,""),"")</f>
        <v>1</v>
      </c>
      <c r="AD52" s="14" t="str">
        <f ca="1">IFERROR(IF(ACCIONES[[#This Row],[REPLANTEO '#1]]&gt;TODAY(),1,""),"")</f>
        <v/>
      </c>
      <c r="AE52" s="14" t="str">
        <f ca="1">IFERROR(IF(ACCIONES[[#This Row],[REPLANTEO '#2 "Formato de replanteo"]]&gt;TODAY(),1,""),"")</f>
        <v/>
      </c>
      <c r="AF52" s="14" t="str">
        <f ca="1">IFERROR(IF(ACCIONES[[#This Row],[REPLANTEO '#3]]&gt;TODAY(),1,""),"")</f>
        <v/>
      </c>
      <c r="AG52" s="14" t="str">
        <f>IFERROR(IF(ACCIONES[[#This Row],[ESTATUS]]="CIERRE",1,""),"")</f>
        <v/>
      </c>
      <c r="AH52" s="14" t="str">
        <f>IFERROR(IF(ACCIONES[[#This Row],[ESTATUS]]="CERRADA",1,""),"")</f>
        <v/>
      </c>
      <c r="AI52" s="14">
        <f ca="1">IF(ACCIONES[[#This Row],[ESTATUS]]="Abierta",COUNT(ACCIONES[[#This Row],[CÓDIGO 4 EN FECHA DE CIERRE ]:[CÓDIGO 9 ESTATUS CERRADA]]),"")</f>
        <v>1</v>
      </c>
      <c r="AJ52" s="14" cm="1">
        <f t="array" aca="1" ref="AJ5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2" s="14" t="str" cm="1">
        <f t="array" aca="1" ref="AK5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2" s="14" t="str" cm="1">
        <f t="array" aca="1" ref="AL5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2" s="14" t="str" cm="1">
        <f t="array" aca="1" ref="AM5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2" s="14" t="b">
        <f ca="1">IFERROR(COUNTIF(ACCIONES[[#This Row],[CÓDIGO 11 POR VENCER FECHA CIERRE]:[CÓDIGO 14 FUERA DE REPLANTEO 3]],3)=1," ")</f>
        <v>0</v>
      </c>
      <c r="AO52" s="14" t="str">
        <f>IFERROR(VLOOKUP(ACCIONES[[#This Row],[DIRECCIÓN O GERENCIA]],AREAS[#All],3,0),"")</f>
        <v>macosta@oomapasc.gob.mx</v>
      </c>
    </row>
    <row r="53" spans="3:41" ht="115.5">
      <c r="C53" s="71">
        <f>IF(ACCIONES[[#This Row],[FECHA DE APERTURA]]="","",YEAR(ACCIONES[[#This Row],[FECHA DE APERTURA]]))</f>
        <v>2026</v>
      </c>
      <c r="D53" s="71">
        <f t="shared" si="8"/>
        <v>52</v>
      </c>
      <c r="E53" s="71" t="s">
        <v>394</v>
      </c>
      <c r="F53" s="14" t="str">
        <f>IF(ACCIONES[[#This Row],[Columna1]]="",IF(YEAR(H53)=YEAR(H52),IF(ISNUMBER(F52),F52+1,1)),ACCIONES[[#This Row],[Columna1]])</f>
        <v>AVM-07</v>
      </c>
      <c r="G53" s="15" t="str">
        <f>IF(ACCIONES[[#This Row],[FECHA DE APERTURA]]="","",IF(ACCIONES[[#This Row],[Columna1]]="","AC#"&amp;ACCIONES[[#This Row],[foliox]]&amp;"\"&amp;YEAR(ACCIONES[[#This Row],[FECHA DE APERTURA]]),ACCIONES[[#This Row],[Columna1]]))</f>
        <v>AVM-07</v>
      </c>
      <c r="H53" s="17">
        <v>46029</v>
      </c>
      <c r="I53" s="18" t="s">
        <v>395</v>
      </c>
      <c r="J53" s="60">
        <v>46147</v>
      </c>
      <c r="K53" s="60">
        <v>46386</v>
      </c>
      <c r="L53" s="60"/>
      <c r="M53" s="19"/>
      <c r="N53" s="20" t="s">
        <v>35</v>
      </c>
      <c r="O53" s="57" t="s">
        <v>339</v>
      </c>
      <c r="P53" s="21" t="s">
        <v>381</v>
      </c>
      <c r="Q53" s="21" t="s">
        <v>382</v>
      </c>
      <c r="R53" s="21"/>
      <c r="S53" s="59"/>
      <c r="T53" s="59"/>
      <c r="U53" s="72" t="str">
        <f>IF(ACCIONES[[#This Row],[Fecha Recibido]]="","",IF(NETWORKDAYS(ACCIONES[[#This Row],[Fecha entrega]],ACCIONES[[#This Row],[Fecha Recibido]])&lt;=5,1,0))</f>
        <v/>
      </c>
      <c r="V53" s="72" t="str">
        <f>IF(ACCIONES[[#This Row],[Fecha entrega]]="","",TEXT(ACCIONES[[#This Row],[Fecha entrega]],"MMMM"))</f>
        <v/>
      </c>
      <c r="W53" s="72" t="str">
        <f>IF(ACCIONES[[#This Row],[Fecha entrega]]="","",YEAR(ACCIONES[[#This Row],[Fecha entrega]]))</f>
        <v/>
      </c>
      <c r="X53" s="14" t="str">
        <f>IF(ACCIONES[[#This Row],[Fecha Recibido]]="","",TEXT(ACCIONES[[#This Row],[Fecha Recibido]],"mmmm"))</f>
        <v/>
      </c>
      <c r="Y53" s="14" t="str">
        <f>IF(ACCIONES[[#This Row],[Fecha Recibido]]="","",YEAR(ACCIONES[[#This Row],[Fecha Recibido]]))</f>
        <v/>
      </c>
      <c r="Z53" s="14" t="str">
        <f>_xlfn.CONCAT(ACCIONES[[#This Row],[DIRECCIÓN O GERENCIA]],ACCIONES[[#This Row],[ORIGEN]])</f>
        <v xml:space="preserve">Sistema de Gestión de CalidadAuditoría Externa </v>
      </c>
      <c r="AA53" s="14" t="str">
        <f>_xlfn.CONCAT(ACCIONES[[#This Row],[DIRECCIÓN O GERENCIA]],ACCIONES[[#This Row],[ESTATUS]])</f>
        <v>Sistema de Gestión de CalidadAbierta</v>
      </c>
      <c r="AB53" s="168">
        <f>IF(ACCIONES[[#This Row],[ESTATUS]]="","",MAX(ACCIONES[[#This Row],[FECHA DE CIERRE]:[REPLANTEO '#2 "Formato de replanteo"]]))</f>
        <v>46386</v>
      </c>
      <c r="AC53" s="14">
        <f ca="1">IFERROR(IF(ACCIONES[[#This Row],[FECHA DE CIERRE]]&gt;TODAY(),1,""),"")</f>
        <v>1</v>
      </c>
      <c r="AD53" s="14">
        <f ca="1">IFERROR(IF(ACCIONES[[#This Row],[REPLANTEO '#1]]&gt;TODAY(),1,""),"")</f>
        <v>1</v>
      </c>
      <c r="AE53" s="14" t="str">
        <f ca="1">IFERROR(IF(ACCIONES[[#This Row],[REPLANTEO '#2 "Formato de replanteo"]]&gt;TODAY(),1,""),"")</f>
        <v/>
      </c>
      <c r="AF53" s="14" t="str">
        <f ca="1">IFERROR(IF(ACCIONES[[#This Row],[REPLANTEO '#3]]&gt;TODAY(),1,""),"")</f>
        <v/>
      </c>
      <c r="AG53" s="14" t="str">
        <f>IFERROR(IF(ACCIONES[[#This Row],[ESTATUS]]="CIERRE",1,""),"")</f>
        <v/>
      </c>
      <c r="AH53" s="14" t="str">
        <f>IFERROR(IF(ACCIONES[[#This Row],[ESTATUS]]="CERRADA",1,""),"")</f>
        <v/>
      </c>
      <c r="AI53" s="14">
        <f ca="1">IF(ACCIONES[[#This Row],[ESTATUS]]="Abierta",COUNT(ACCIONES[[#This Row],[CÓDIGO 4 EN FECHA DE CIERRE ]:[CÓDIGO 9 ESTATUS CERRADA]]),"")</f>
        <v>2</v>
      </c>
      <c r="AJ53" s="14" cm="1">
        <f t="array" aca="1" ref="AJ5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3" s="14" cm="1">
        <f t="array" aca="1" ref="AK5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10</v>
      </c>
      <c r="AL53" s="14" t="str" cm="1">
        <f t="array" aca="1" ref="AL5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3" s="14" t="str" cm="1">
        <f t="array" aca="1" ref="AM5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3" s="14" t="b">
        <f ca="1">IFERROR(COUNTIF(ACCIONES[[#This Row],[CÓDIGO 11 POR VENCER FECHA CIERRE]:[CÓDIGO 14 FUERA DE REPLANTEO 3]],3)=1," ")</f>
        <v>0</v>
      </c>
      <c r="AO53" s="14">
        <f>IFERROR(VLOOKUP(ACCIONES[[#This Row],[DIRECCIÓN O GERENCIA]],AREAS[#All],3,0),"")</f>
        <v>0</v>
      </c>
    </row>
    <row r="54" spans="3:41" ht="52.5" hidden="1">
      <c r="C54" s="71">
        <f>IF(ACCIONES[[#This Row],[FECHA DE APERTURA]]="","",YEAR(ACCIONES[[#This Row],[FECHA DE APERTURA]]))</f>
        <v>2026</v>
      </c>
      <c r="D54" s="71">
        <f t="shared" si="8"/>
        <v>53</v>
      </c>
      <c r="E54" s="71" t="s">
        <v>396</v>
      </c>
      <c r="F54" s="14" t="str">
        <f>IF(ACCIONES[[#This Row],[Columna1]]="",IF(YEAR(H54)=YEAR(H53),IF(ISNUMBER(F53),F53+1,1)),ACCIONES[[#This Row],[Columna1]])</f>
        <v>AVM-08</v>
      </c>
      <c r="G54" s="15" t="str">
        <f>IF(ACCIONES[[#This Row],[FECHA DE APERTURA]]="","",IF(ACCIONES[[#This Row],[Columna1]]="","AC#"&amp;ACCIONES[[#This Row],[foliox]]&amp;"\"&amp;YEAR(ACCIONES[[#This Row],[FECHA DE APERTURA]]),ACCIONES[[#This Row],[Columna1]]))</f>
        <v>AVM-08</v>
      </c>
      <c r="H54" s="17">
        <v>46031</v>
      </c>
      <c r="I54" s="18" t="s">
        <v>397</v>
      </c>
      <c r="J54" s="60">
        <v>46064</v>
      </c>
      <c r="K54" s="60">
        <v>46099</v>
      </c>
      <c r="L54" s="60"/>
      <c r="M54" s="19"/>
      <c r="N54" s="20" t="s">
        <v>35</v>
      </c>
      <c r="O54" s="57" t="s">
        <v>218</v>
      </c>
      <c r="P54" s="21" t="s">
        <v>381</v>
      </c>
      <c r="Q54" s="21" t="s">
        <v>382</v>
      </c>
      <c r="R54" s="21" t="s">
        <v>155</v>
      </c>
      <c r="S54" s="59">
        <v>46107</v>
      </c>
      <c r="T54" s="59">
        <v>46112</v>
      </c>
      <c r="U54" s="72">
        <f>IF(ACCIONES[[#This Row],[Fecha Recibido]]="","",IF(NETWORKDAYS(ACCIONES[[#This Row],[Fecha entrega]],ACCIONES[[#This Row],[Fecha Recibido]])&lt;=5,1,0))</f>
        <v>1</v>
      </c>
      <c r="V54" s="72" t="str">
        <f>IF(ACCIONES[[#This Row],[Fecha entrega]]="","",TEXT(ACCIONES[[#This Row],[Fecha entrega]],"MMMM"))</f>
        <v>marzo</v>
      </c>
      <c r="W54" s="72">
        <f>IF(ACCIONES[[#This Row],[Fecha entrega]]="","",YEAR(ACCIONES[[#This Row],[Fecha entrega]]))</f>
        <v>2026</v>
      </c>
      <c r="X54" s="14" t="str">
        <f>IF(ACCIONES[[#This Row],[Fecha Recibido]]="","",TEXT(ACCIONES[[#This Row],[Fecha Recibido]],"mmmm"))</f>
        <v>marzo</v>
      </c>
      <c r="Y54" s="14">
        <f>IF(ACCIONES[[#This Row],[Fecha Recibido]]="","",YEAR(ACCIONES[[#This Row],[Fecha Recibido]]))</f>
        <v>2026</v>
      </c>
      <c r="Z54" s="14" t="str">
        <f>_xlfn.CONCAT(ACCIONES[[#This Row],[DIRECCIÓN O GERENCIA]],ACCIONES[[#This Row],[ORIGEN]])</f>
        <v xml:space="preserve">Sistema de Gestión de CalidadAuditoría Externa </v>
      </c>
      <c r="AA54" s="14" t="str">
        <f>_xlfn.CONCAT(ACCIONES[[#This Row],[DIRECCIÓN O GERENCIA]],ACCIONES[[#This Row],[ESTATUS]])</f>
        <v>Sistema de Gestión de CalidadCerrada</v>
      </c>
      <c r="AB54" s="168">
        <f>IF(ACCIONES[[#This Row],[ESTATUS]]="","",MAX(ACCIONES[[#This Row],[FECHA DE CIERRE]:[REPLANTEO '#2 "Formato de replanteo"]]))</f>
        <v>46099</v>
      </c>
      <c r="AC54" s="14" t="str">
        <f ca="1">IFERROR(IF(ACCIONES[[#This Row],[FECHA DE CIERRE]]&gt;TODAY(),1,""),"")</f>
        <v/>
      </c>
      <c r="AD54" s="14" t="str">
        <f ca="1">IFERROR(IF(ACCIONES[[#This Row],[REPLANTEO '#1]]&gt;TODAY(),1,""),"")</f>
        <v/>
      </c>
      <c r="AE54" s="14" t="str">
        <f ca="1">IFERROR(IF(ACCIONES[[#This Row],[REPLANTEO '#2 "Formato de replanteo"]]&gt;TODAY(),1,""),"")</f>
        <v/>
      </c>
      <c r="AF54" s="14" t="str">
        <f ca="1">IFERROR(IF(ACCIONES[[#This Row],[REPLANTEO '#3]]&gt;TODAY(),1,""),"")</f>
        <v/>
      </c>
      <c r="AG54" s="14" t="str">
        <f>IFERROR(IF(ACCIONES[[#This Row],[ESTATUS]]="CIERRE",1,""),"")</f>
        <v/>
      </c>
      <c r="AH54" s="14">
        <f>IFERROR(IF(ACCIONES[[#This Row],[ESTATUS]]="CERRADA",1,""),"")</f>
        <v>1</v>
      </c>
      <c r="AI54" s="14" t="str">
        <f>IF(ACCIONES[[#This Row],[ESTATUS]]="Abierta",COUNT(ACCIONES[[#This Row],[CÓDIGO 4 EN FECHA DE CIERRE ]:[CÓDIGO 9 ESTATUS CERRADA]]),"")</f>
        <v/>
      </c>
      <c r="AJ54" s="14" t="str" cm="1">
        <f t="array" aca="1" ref="AJ5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
      </c>
      <c r="AK54" s="14" t="str" cm="1">
        <f t="array" aca="1" ref="AK5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4" s="14" t="str" cm="1">
        <f t="array" aca="1" ref="AL5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4" s="14" t="str" cm="1">
        <f t="array" aca="1" ref="AM5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4" s="14" t="b">
        <f ca="1">IFERROR(COUNTIF(ACCIONES[[#This Row],[CÓDIGO 11 POR VENCER FECHA CIERRE]:[CÓDIGO 14 FUERA DE REPLANTEO 3]],3)=1," ")</f>
        <v>0</v>
      </c>
      <c r="AO54" s="14">
        <f>IFERROR(VLOOKUP(ACCIONES[[#This Row],[DIRECCIÓN O GERENCIA]],AREAS[#All],3,0),"")</f>
        <v>0</v>
      </c>
    </row>
    <row r="55" spans="3:41" ht="31.5">
      <c r="C55" s="71">
        <f>IF(ACCIONES[[#This Row],[FECHA DE APERTURA]]="","",YEAR(ACCIONES[[#This Row],[FECHA DE APERTURA]]))</f>
        <v>2026</v>
      </c>
      <c r="D55" s="71">
        <f>ROW()-1</f>
        <v>54</v>
      </c>
      <c r="E55" s="71"/>
      <c r="F55" s="14">
        <f>IF(ACCIONES[[#This Row],[Columna1]]="",IF(YEAR(H55)=YEAR(H54),IF(ISNUMBER(F54),F54+1,1)),ACCIONES[[#This Row],[Columna1]])</f>
        <v>1</v>
      </c>
      <c r="G55" s="15" t="str">
        <f>IF(ACCIONES[[#This Row],[FECHA DE APERTURA]]="","",IF(ACCIONES[[#This Row],[Columna1]]="","AC#"&amp;ACCIONES[[#This Row],[foliox]]&amp;"\"&amp;YEAR(ACCIONES[[#This Row],[FECHA DE APERTURA]]),ACCIONES[[#This Row],[Columna1]]))</f>
        <v>AC#1\2026</v>
      </c>
      <c r="H55" s="17">
        <v>46030</v>
      </c>
      <c r="I55" s="18" t="s">
        <v>398</v>
      </c>
      <c r="J55" s="60">
        <v>46188</v>
      </c>
      <c r="K55" s="60"/>
      <c r="L55" s="60"/>
      <c r="M55" s="19"/>
      <c r="N55" s="20" t="s">
        <v>119</v>
      </c>
      <c r="O55" s="57" t="s">
        <v>339</v>
      </c>
      <c r="P55" s="21" t="s">
        <v>299</v>
      </c>
      <c r="Q55" s="21"/>
      <c r="R55" s="21"/>
      <c r="S55" s="59"/>
      <c r="T55" s="59"/>
      <c r="U55" s="72" t="str">
        <f>IF(ACCIONES[[#This Row],[Fecha Recibido]]="","",IF(NETWORKDAYS(ACCIONES[[#This Row],[Fecha entrega]],ACCIONES[[#This Row],[Fecha Recibido]])&lt;=5,1,0))</f>
        <v/>
      </c>
      <c r="V55" s="72" t="str">
        <f>IF(ACCIONES[[#This Row],[Fecha entrega]]="","",TEXT(ACCIONES[[#This Row],[Fecha entrega]],"MMMM"))</f>
        <v/>
      </c>
      <c r="W55" s="72" t="str">
        <f>IF(ACCIONES[[#This Row],[Fecha entrega]]="","",YEAR(ACCIONES[[#This Row],[Fecha entrega]]))</f>
        <v/>
      </c>
      <c r="X55" s="14" t="str">
        <f>IF(ACCIONES[[#This Row],[Fecha Recibido]]="","",TEXT(ACCIONES[[#This Row],[Fecha Recibido]],"mmmm"))</f>
        <v/>
      </c>
      <c r="Y55" s="14" t="str">
        <f>IF(ACCIONES[[#This Row],[Fecha Recibido]]="","",YEAR(ACCIONES[[#This Row],[Fecha Recibido]]))</f>
        <v/>
      </c>
      <c r="Z55" s="14" t="str">
        <f>_xlfn.CONCAT(ACCIONES[[#This Row],[DIRECCIÓN O GERENCIA]],ACCIONES[[#This Row],[ORIGEN]])</f>
        <v>Dirección ComercialIndicador</v>
      </c>
      <c r="AA55" s="14" t="str">
        <f>_xlfn.CONCAT(ACCIONES[[#This Row],[DIRECCIÓN O GERENCIA]],ACCIONES[[#This Row],[ESTATUS]])</f>
        <v>Dirección ComercialAbierta</v>
      </c>
      <c r="AB55" s="168">
        <f>IF(ACCIONES[[#This Row],[ESTATUS]]="","",MAX(ACCIONES[[#This Row],[FECHA DE CIERRE]:[REPLANTEO '#2 "Formato de replanteo"]]))</f>
        <v>46188</v>
      </c>
      <c r="AC55" s="14">
        <f ca="1">IFERROR(IF(ACCIONES[[#This Row],[FECHA DE CIERRE]]&gt;TODAY(),1,""),"")</f>
        <v>1</v>
      </c>
      <c r="AD55" s="14" t="str">
        <f ca="1">IFERROR(IF(ACCIONES[[#This Row],[REPLANTEO '#1]]&gt;TODAY(),1,""),"")</f>
        <v/>
      </c>
      <c r="AE55" s="14" t="str">
        <f ca="1">IFERROR(IF(ACCIONES[[#This Row],[REPLANTEO '#2 "Formato de replanteo"]]&gt;TODAY(),1,""),"")</f>
        <v/>
      </c>
      <c r="AF55" s="14" t="str">
        <f ca="1">IFERROR(IF(ACCIONES[[#This Row],[REPLANTEO '#3]]&gt;TODAY(),1,""),"")</f>
        <v/>
      </c>
      <c r="AG55" s="14" t="str">
        <f>IFERROR(IF(ACCIONES[[#This Row],[ESTATUS]]="CIERRE",1,""),"")</f>
        <v/>
      </c>
      <c r="AH55" s="14" t="str">
        <f>IFERROR(IF(ACCIONES[[#This Row],[ESTATUS]]="CERRADA",1,""),"")</f>
        <v/>
      </c>
      <c r="AI55" s="14">
        <f ca="1">IF(ACCIONES[[#This Row],[ESTATUS]]="Abierta",COUNT(ACCIONES[[#This Row],[CÓDIGO 4 EN FECHA DE CIERRE ]:[CÓDIGO 9 ESTATUS CERRADA]]),"")</f>
        <v>1</v>
      </c>
      <c r="AJ55" s="14" cm="1">
        <f t="array" aca="1" ref="AJ55"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5" s="14" t="str" cm="1">
        <f t="array" aca="1" ref="AK55"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5" s="14" t="str" cm="1">
        <f t="array" aca="1" ref="AL55"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5" s="14" t="str" cm="1">
        <f t="array" aca="1" ref="AM55"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5" s="14" t="b">
        <f ca="1">IFERROR(COUNTIF(ACCIONES[[#This Row],[CÓDIGO 11 POR VENCER FECHA CIERRE]:[CÓDIGO 14 FUERA DE REPLANTEO 3]],3)=1," ")</f>
        <v>0</v>
      </c>
      <c r="AO55" s="14" t="str">
        <f>IFERROR(VLOOKUP(ACCIONES[[#This Row],[DIRECCIÓN O GERENCIA]],AREAS[#All],3,0),"")</f>
        <v/>
      </c>
    </row>
    <row r="56" spans="3:41" ht="31.5">
      <c r="C56" s="71">
        <f>IF(ACCIONES[[#This Row],[FECHA DE APERTURA]]="","",YEAR(ACCIONES[[#This Row],[FECHA DE APERTURA]]))</f>
        <v>2026</v>
      </c>
      <c r="D56" s="71">
        <f t="shared" ref="D56:D59" si="9">ROW()-1</f>
        <v>55</v>
      </c>
      <c r="E56" s="71"/>
      <c r="F56" s="14">
        <f t="shared" ref="F56:F59" si="10">IF(YEAR(H56)=YEAR(H55), F55+1, 1)</f>
        <v>2</v>
      </c>
      <c r="G56" s="15" t="str">
        <f>IF(ACCIONES[[#This Row],[FECHA DE APERTURA]]="","",IF(ACCIONES[[#This Row],[Columna1]]="","AC#"&amp;ACCIONES[[#This Row],[foliox]]&amp;"\"&amp;YEAR(ACCIONES[[#This Row],[FECHA DE APERTURA]]),ACCIONES[[#This Row],[Columna1]]))</f>
        <v>AC#2\2026</v>
      </c>
      <c r="H56" s="17">
        <v>46030</v>
      </c>
      <c r="I56" s="18" t="s">
        <v>398</v>
      </c>
      <c r="J56" s="60">
        <v>46188</v>
      </c>
      <c r="K56" s="60"/>
      <c r="L56" s="60"/>
      <c r="M56" s="19"/>
      <c r="N56" s="20" t="s">
        <v>81</v>
      </c>
      <c r="O56" s="57" t="s">
        <v>339</v>
      </c>
      <c r="P56" s="21" t="s">
        <v>299</v>
      </c>
      <c r="Q56" s="21"/>
      <c r="R56" s="21"/>
      <c r="S56" s="59"/>
      <c r="T56" s="59"/>
      <c r="U56" s="72" t="str">
        <f>IF(ACCIONES[[#This Row],[Fecha Recibido]]="","",IF(NETWORKDAYS(ACCIONES[[#This Row],[Fecha entrega]],ACCIONES[[#This Row],[Fecha Recibido]])&lt;=5,1,0))</f>
        <v/>
      </c>
      <c r="V56" s="72" t="str">
        <f>IF(ACCIONES[[#This Row],[Fecha entrega]]="","",TEXT(ACCIONES[[#This Row],[Fecha entrega]],"MMMM"))</f>
        <v/>
      </c>
      <c r="W56" s="72" t="str">
        <f>IF(ACCIONES[[#This Row],[Fecha entrega]]="","",YEAR(ACCIONES[[#This Row],[Fecha entrega]]))</f>
        <v/>
      </c>
      <c r="X56" s="14" t="str">
        <f>IF(ACCIONES[[#This Row],[Fecha Recibido]]="","",TEXT(ACCIONES[[#This Row],[Fecha Recibido]],"mmmm"))</f>
        <v/>
      </c>
      <c r="Y56" s="14" t="str">
        <f>IF(ACCIONES[[#This Row],[Fecha Recibido]]="","",YEAR(ACCIONES[[#This Row],[Fecha Recibido]]))</f>
        <v/>
      </c>
      <c r="Z56" s="14" t="str">
        <f>_xlfn.CONCAT(ACCIONES[[#This Row],[DIRECCIÓN O GERENCIA]],ACCIONES[[#This Row],[ORIGEN]])</f>
        <v>Agencia Pueblo YaquiIndicador</v>
      </c>
      <c r="AA56" s="14" t="str">
        <f>_xlfn.CONCAT(ACCIONES[[#This Row],[DIRECCIÓN O GERENCIA]],ACCIONES[[#This Row],[ESTATUS]])</f>
        <v>Agencia Pueblo YaquiAbierta</v>
      </c>
      <c r="AB56" s="168">
        <f>IF(ACCIONES[[#This Row],[ESTATUS]]="","",MAX(ACCIONES[[#This Row],[FECHA DE CIERRE]:[REPLANTEO '#2 "Formato de replanteo"]]))</f>
        <v>46188</v>
      </c>
      <c r="AC56" s="14">
        <f ca="1">IFERROR(IF(ACCIONES[[#This Row],[FECHA DE CIERRE]]&gt;TODAY(),1,""),"")</f>
        <v>1</v>
      </c>
      <c r="AD56" s="14" t="str">
        <f ca="1">IFERROR(IF(ACCIONES[[#This Row],[REPLANTEO '#1]]&gt;TODAY(),1,""),"")</f>
        <v/>
      </c>
      <c r="AE56" s="14" t="str">
        <f ca="1">IFERROR(IF(ACCIONES[[#This Row],[REPLANTEO '#2 "Formato de replanteo"]]&gt;TODAY(),1,""),"")</f>
        <v/>
      </c>
      <c r="AF56" s="14" t="str">
        <f ca="1">IFERROR(IF(ACCIONES[[#This Row],[REPLANTEO '#3]]&gt;TODAY(),1,""),"")</f>
        <v/>
      </c>
      <c r="AG56" s="14" t="str">
        <f>IFERROR(IF(ACCIONES[[#This Row],[ESTATUS]]="CIERRE",1,""),"")</f>
        <v/>
      </c>
      <c r="AH56" s="14" t="str">
        <f>IFERROR(IF(ACCIONES[[#This Row],[ESTATUS]]="CERRADA",1,""),"")</f>
        <v/>
      </c>
      <c r="AI56" s="14">
        <f ca="1">IF(ACCIONES[[#This Row],[ESTATUS]]="Abierta",COUNT(ACCIONES[[#This Row],[CÓDIGO 4 EN FECHA DE CIERRE ]:[CÓDIGO 9 ESTATUS CERRADA]]),"")</f>
        <v>1</v>
      </c>
      <c r="AJ56" s="14" cm="1">
        <f t="array" aca="1" ref="AJ56"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6" s="14" t="str" cm="1">
        <f t="array" aca="1" ref="AK56"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6" s="14" t="str" cm="1">
        <f t="array" aca="1" ref="AL56"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6" s="14" t="str" cm="1">
        <f t="array" aca="1" ref="AM56"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6" s="14" t="b">
        <f ca="1">IFERROR(COUNTIF(ACCIONES[[#This Row],[CÓDIGO 11 POR VENCER FECHA CIERRE]:[CÓDIGO 14 FUERA DE REPLANTEO 3]],3)=1," ")</f>
        <v>0</v>
      </c>
      <c r="AO56" s="14" t="str">
        <f>IFERROR(VLOOKUP(ACCIONES[[#This Row],[DIRECCIÓN O GERENCIA]],AREAS[#All],3,0),"")</f>
        <v>restrada@oomapasc.gob.mx</v>
      </c>
    </row>
    <row r="57" spans="3:41" ht="31.5">
      <c r="C57" s="71">
        <f>IF(ACCIONES[[#This Row],[FECHA DE APERTURA]]="","",YEAR(ACCIONES[[#This Row],[FECHA DE APERTURA]]))</f>
        <v>2026</v>
      </c>
      <c r="D57" s="71">
        <f t="shared" si="9"/>
        <v>56</v>
      </c>
      <c r="E57" s="71"/>
      <c r="F57" s="14">
        <f t="shared" si="10"/>
        <v>3</v>
      </c>
      <c r="G57" s="15" t="str">
        <f>IF(ACCIONES[[#This Row],[FECHA DE APERTURA]]="","",IF(ACCIONES[[#This Row],[Columna1]]="","AC#"&amp;ACCIONES[[#This Row],[foliox]]&amp;"\"&amp;YEAR(ACCIONES[[#This Row],[FECHA DE APERTURA]]),ACCIONES[[#This Row],[Columna1]]))</f>
        <v>AC#3\2026</v>
      </c>
      <c r="H57" s="17">
        <v>46030</v>
      </c>
      <c r="I57" s="18" t="s">
        <v>398</v>
      </c>
      <c r="J57" s="60">
        <v>46188</v>
      </c>
      <c r="K57" s="60"/>
      <c r="L57" s="60"/>
      <c r="M57" s="19"/>
      <c r="N57" s="20" t="s">
        <v>84</v>
      </c>
      <c r="O57" s="57" t="s">
        <v>339</v>
      </c>
      <c r="P57" s="21" t="s">
        <v>299</v>
      </c>
      <c r="Q57" s="21"/>
      <c r="R57" s="21"/>
      <c r="S57" s="59"/>
      <c r="T57" s="59"/>
      <c r="U57" s="72" t="str">
        <f>IF(ACCIONES[[#This Row],[Fecha Recibido]]="","",IF(NETWORKDAYS(ACCIONES[[#This Row],[Fecha entrega]],ACCIONES[[#This Row],[Fecha Recibido]])&lt;=5,1,0))</f>
        <v/>
      </c>
      <c r="V57" s="72" t="str">
        <f>IF(ACCIONES[[#This Row],[Fecha entrega]]="","",TEXT(ACCIONES[[#This Row],[Fecha entrega]],"MMMM"))</f>
        <v/>
      </c>
      <c r="W57" s="72" t="str">
        <f>IF(ACCIONES[[#This Row],[Fecha entrega]]="","",YEAR(ACCIONES[[#This Row],[Fecha entrega]]))</f>
        <v/>
      </c>
      <c r="X57" s="14" t="str">
        <f>IF(ACCIONES[[#This Row],[Fecha Recibido]]="","",TEXT(ACCIONES[[#This Row],[Fecha Recibido]],"mmmm"))</f>
        <v/>
      </c>
      <c r="Y57" s="14" t="str">
        <f>IF(ACCIONES[[#This Row],[Fecha Recibido]]="","",YEAR(ACCIONES[[#This Row],[Fecha Recibido]]))</f>
        <v/>
      </c>
      <c r="Z57" s="14" t="str">
        <f>_xlfn.CONCAT(ACCIONES[[#This Row],[DIRECCIÓN O GERENCIA]],ACCIONES[[#This Row],[ORIGEN]])</f>
        <v>Agencia EsperanzaIndicador</v>
      </c>
      <c r="AA57" s="14" t="str">
        <f>_xlfn.CONCAT(ACCIONES[[#This Row],[DIRECCIÓN O GERENCIA]],ACCIONES[[#This Row],[ESTATUS]])</f>
        <v>Agencia EsperanzaAbierta</v>
      </c>
      <c r="AB57" s="168">
        <f>IF(ACCIONES[[#This Row],[ESTATUS]]="","",MAX(ACCIONES[[#This Row],[FECHA DE CIERRE]:[REPLANTEO '#2 "Formato de replanteo"]]))</f>
        <v>46188</v>
      </c>
      <c r="AC57" s="14">
        <f ca="1">IFERROR(IF(ACCIONES[[#This Row],[FECHA DE CIERRE]]&gt;TODAY(),1,""),"")</f>
        <v>1</v>
      </c>
      <c r="AD57" s="14" t="str">
        <f ca="1">IFERROR(IF(ACCIONES[[#This Row],[REPLANTEO '#1]]&gt;TODAY(),1,""),"")</f>
        <v/>
      </c>
      <c r="AE57" s="14" t="str">
        <f ca="1">IFERROR(IF(ACCIONES[[#This Row],[REPLANTEO '#2 "Formato de replanteo"]]&gt;TODAY(),1,""),"")</f>
        <v/>
      </c>
      <c r="AF57" s="14" t="str">
        <f ca="1">IFERROR(IF(ACCIONES[[#This Row],[REPLANTEO '#3]]&gt;TODAY(),1,""),"")</f>
        <v/>
      </c>
      <c r="AG57" s="14" t="str">
        <f>IFERROR(IF(ACCIONES[[#This Row],[ESTATUS]]="CIERRE",1,""),"")</f>
        <v/>
      </c>
      <c r="AH57" s="14" t="str">
        <f>IFERROR(IF(ACCIONES[[#This Row],[ESTATUS]]="CERRADA",1,""),"")</f>
        <v/>
      </c>
      <c r="AI57" s="14">
        <f ca="1">IF(ACCIONES[[#This Row],[ESTATUS]]="Abierta",COUNT(ACCIONES[[#This Row],[CÓDIGO 4 EN FECHA DE CIERRE ]:[CÓDIGO 9 ESTATUS CERRADA]]),"")</f>
        <v>1</v>
      </c>
      <c r="AJ57" s="14" cm="1">
        <f t="array" aca="1" ref="AJ57"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7" s="14" t="str" cm="1">
        <f t="array" aca="1" ref="AK57"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7" s="14" t="str" cm="1">
        <f t="array" aca="1" ref="AL57"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7" s="14" t="str" cm="1">
        <f t="array" aca="1" ref="AM57"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7" s="14" t="b">
        <f ca="1">IFERROR(COUNTIF(ACCIONES[[#This Row],[CÓDIGO 11 POR VENCER FECHA CIERRE]:[CÓDIGO 14 FUERA DE REPLANTEO 3]],3)=1," ")</f>
        <v>0</v>
      </c>
      <c r="AO57" s="14">
        <f>IFERROR(VLOOKUP(ACCIONES[[#This Row],[DIRECCIÓN O GERENCIA]],AREAS[#All],3,0),"")</f>
        <v>0</v>
      </c>
    </row>
    <row r="58" spans="3:41" ht="42">
      <c r="C58" s="71">
        <f>IF(ACCIONES[[#This Row],[FECHA DE APERTURA]]="","",YEAR(ACCIONES[[#This Row],[FECHA DE APERTURA]]))</f>
        <v>2026</v>
      </c>
      <c r="D58" s="71">
        <f t="shared" si="9"/>
        <v>57</v>
      </c>
      <c r="E58" s="71"/>
      <c r="F58" s="14">
        <f t="shared" si="10"/>
        <v>4</v>
      </c>
      <c r="G58" s="15" t="str">
        <f>IF(ACCIONES[[#This Row],[FECHA DE APERTURA]]="","",IF(ACCIONES[[#This Row],[Columna1]]="","AC#"&amp;ACCIONES[[#This Row],[foliox]]&amp;"\"&amp;YEAR(ACCIONES[[#This Row],[FECHA DE APERTURA]]),ACCIONES[[#This Row],[Columna1]]))</f>
        <v>AC#4\2026</v>
      </c>
      <c r="H58" s="17">
        <v>46030</v>
      </c>
      <c r="I58" s="18" t="s">
        <v>398</v>
      </c>
      <c r="J58" s="60">
        <v>46188</v>
      </c>
      <c r="K58" s="60"/>
      <c r="L58" s="60"/>
      <c r="M58" s="19"/>
      <c r="N58" s="20" t="s">
        <v>86</v>
      </c>
      <c r="O58" s="57" t="s">
        <v>339</v>
      </c>
      <c r="P58" s="21" t="s">
        <v>299</v>
      </c>
      <c r="Q58" s="21"/>
      <c r="R58" s="21"/>
      <c r="S58" s="59"/>
      <c r="T58" s="59"/>
      <c r="U58" s="72" t="str">
        <f>IF(ACCIONES[[#This Row],[Fecha Recibido]]="","",IF(NETWORKDAYS(ACCIONES[[#This Row],[Fecha entrega]],ACCIONES[[#This Row],[Fecha Recibido]])&lt;=5,1,0))</f>
        <v/>
      </c>
      <c r="V58" s="72" t="str">
        <f>IF(ACCIONES[[#This Row],[Fecha entrega]]="","",TEXT(ACCIONES[[#This Row],[Fecha entrega]],"MMMM"))</f>
        <v/>
      </c>
      <c r="W58" s="72" t="str">
        <f>IF(ACCIONES[[#This Row],[Fecha entrega]]="","",YEAR(ACCIONES[[#This Row],[Fecha entrega]]))</f>
        <v/>
      </c>
      <c r="X58" s="14" t="str">
        <f>IF(ACCIONES[[#This Row],[Fecha Recibido]]="","",TEXT(ACCIONES[[#This Row],[Fecha Recibido]],"mmmm"))</f>
        <v/>
      </c>
      <c r="Y58" s="14" t="str">
        <f>IF(ACCIONES[[#This Row],[Fecha Recibido]]="","",YEAR(ACCIONES[[#This Row],[Fecha Recibido]]))</f>
        <v/>
      </c>
      <c r="Z58" s="14" t="str">
        <f>_xlfn.CONCAT(ACCIONES[[#This Row],[DIRECCIÓN O GERENCIA]],ACCIONES[[#This Row],[ORIGEN]])</f>
        <v>Agencia Marte R. GómezIndicador</v>
      </c>
      <c r="AA58" s="14" t="str">
        <f>_xlfn.CONCAT(ACCIONES[[#This Row],[DIRECCIÓN O GERENCIA]],ACCIONES[[#This Row],[ESTATUS]])</f>
        <v>Agencia Marte R. GómezAbierta</v>
      </c>
      <c r="AB58" s="168">
        <f>IF(ACCIONES[[#This Row],[ESTATUS]]="","",MAX(ACCIONES[[#This Row],[FECHA DE CIERRE]:[REPLANTEO '#2 "Formato de replanteo"]]))</f>
        <v>46188</v>
      </c>
      <c r="AC58" s="14">
        <f ca="1">IFERROR(IF(ACCIONES[[#This Row],[FECHA DE CIERRE]]&gt;TODAY(),1,""),"")</f>
        <v>1</v>
      </c>
      <c r="AD58" s="14" t="str">
        <f ca="1">IFERROR(IF(ACCIONES[[#This Row],[REPLANTEO '#1]]&gt;TODAY(),1,""),"")</f>
        <v/>
      </c>
      <c r="AE58" s="14" t="str">
        <f ca="1">IFERROR(IF(ACCIONES[[#This Row],[REPLANTEO '#2 "Formato de replanteo"]]&gt;TODAY(),1,""),"")</f>
        <v/>
      </c>
      <c r="AF58" s="14" t="str">
        <f ca="1">IFERROR(IF(ACCIONES[[#This Row],[REPLANTEO '#3]]&gt;TODAY(),1,""),"")</f>
        <v/>
      </c>
      <c r="AG58" s="14" t="str">
        <f>IFERROR(IF(ACCIONES[[#This Row],[ESTATUS]]="CIERRE",1,""),"")</f>
        <v/>
      </c>
      <c r="AH58" s="14" t="str">
        <f>IFERROR(IF(ACCIONES[[#This Row],[ESTATUS]]="CERRADA",1,""),"")</f>
        <v/>
      </c>
      <c r="AI58" s="14">
        <f ca="1">IF(ACCIONES[[#This Row],[ESTATUS]]="Abierta",COUNT(ACCIONES[[#This Row],[CÓDIGO 4 EN FECHA DE CIERRE ]:[CÓDIGO 9 ESTATUS CERRADA]]),"")</f>
        <v>1</v>
      </c>
      <c r="AJ58" s="14" cm="1">
        <f t="array" aca="1" ref="AJ58"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8" s="14" t="str" cm="1">
        <f t="array" aca="1" ref="AK58"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8" s="14" t="str" cm="1">
        <f t="array" aca="1" ref="AL58"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8" s="14" t="str" cm="1">
        <f t="array" aca="1" ref="AM58"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8" s="14" t="b">
        <f ca="1">IFERROR(COUNTIF(ACCIONES[[#This Row],[CÓDIGO 11 POR VENCER FECHA CIERRE]:[CÓDIGO 14 FUERA DE REPLANTEO 3]],3)=1," ")</f>
        <v>0</v>
      </c>
      <c r="AO58" s="14" t="str">
        <f>IFERROR(VLOOKUP(ACCIONES[[#This Row],[DIRECCIÓN O GERENCIA]],AREAS[#All],3,0),"")</f>
        <v>lalcaraz@oomapasc.gob.mx</v>
      </c>
    </row>
    <row r="59" spans="3:41" ht="31.5">
      <c r="C59" s="71">
        <f>IF(ACCIONES[[#This Row],[FECHA DE APERTURA]]="","",YEAR(ACCIONES[[#This Row],[FECHA DE APERTURA]]))</f>
        <v>2026</v>
      </c>
      <c r="D59" s="71">
        <f t="shared" si="9"/>
        <v>58</v>
      </c>
      <c r="E59" s="71"/>
      <c r="F59" s="14">
        <f t="shared" si="10"/>
        <v>5</v>
      </c>
      <c r="G59" s="15" t="str">
        <f>IF(ACCIONES[[#This Row],[FECHA DE APERTURA]]="","",IF(ACCIONES[[#This Row],[Columna1]]="","AC#"&amp;ACCIONES[[#This Row],[foliox]]&amp;"\"&amp;YEAR(ACCIONES[[#This Row],[FECHA DE APERTURA]]),ACCIONES[[#This Row],[Columna1]]))</f>
        <v>AC#5\2026</v>
      </c>
      <c r="H59" s="17">
        <v>46030</v>
      </c>
      <c r="I59" s="18" t="s">
        <v>398</v>
      </c>
      <c r="J59" s="60">
        <v>46188</v>
      </c>
      <c r="K59" s="60"/>
      <c r="L59" s="60"/>
      <c r="M59" s="19"/>
      <c r="N59" s="20" t="s">
        <v>89</v>
      </c>
      <c r="O59" s="57" t="s">
        <v>339</v>
      </c>
      <c r="P59" s="21" t="s">
        <v>299</v>
      </c>
      <c r="Q59" s="21"/>
      <c r="R59" s="21"/>
      <c r="S59" s="59"/>
      <c r="T59" s="59"/>
      <c r="U59" s="72" t="str">
        <f>IF(ACCIONES[[#This Row],[Fecha Recibido]]="","",IF(NETWORKDAYS(ACCIONES[[#This Row],[Fecha entrega]],ACCIONES[[#This Row],[Fecha Recibido]])&lt;=5,1,0))</f>
        <v/>
      </c>
      <c r="V59" s="72" t="str">
        <f>IF(ACCIONES[[#This Row],[Fecha entrega]]="","",TEXT(ACCIONES[[#This Row],[Fecha entrega]],"MMMM"))</f>
        <v/>
      </c>
      <c r="W59" s="72" t="str">
        <f>IF(ACCIONES[[#This Row],[Fecha entrega]]="","",YEAR(ACCIONES[[#This Row],[Fecha entrega]]))</f>
        <v/>
      </c>
      <c r="X59" s="14" t="str">
        <f>IF(ACCIONES[[#This Row],[Fecha Recibido]]="","",TEXT(ACCIONES[[#This Row],[Fecha Recibido]],"mmmm"))</f>
        <v/>
      </c>
      <c r="Y59" s="14" t="str">
        <f>IF(ACCIONES[[#This Row],[Fecha Recibido]]="","",YEAR(ACCIONES[[#This Row],[Fecha Recibido]]))</f>
        <v/>
      </c>
      <c r="Z59" s="14" t="str">
        <f>_xlfn.CONCAT(ACCIONES[[#This Row],[DIRECCIÓN O GERENCIA]],ACCIONES[[#This Row],[ORIGEN]])</f>
        <v>Agencia ProvidenciaIndicador</v>
      </c>
      <c r="AA59" s="14" t="str">
        <f>_xlfn.CONCAT(ACCIONES[[#This Row],[DIRECCIÓN O GERENCIA]],ACCIONES[[#This Row],[ESTATUS]])</f>
        <v>Agencia ProvidenciaAbierta</v>
      </c>
      <c r="AB59" s="168">
        <f>IF(ACCIONES[[#This Row],[ESTATUS]]="","",MAX(ACCIONES[[#This Row],[FECHA DE CIERRE]:[REPLANTEO '#2 "Formato de replanteo"]]))</f>
        <v>46188</v>
      </c>
      <c r="AC59" s="14">
        <f ca="1">IFERROR(IF(ACCIONES[[#This Row],[FECHA DE CIERRE]]&gt;TODAY(),1,""),"")</f>
        <v>1</v>
      </c>
      <c r="AD59" s="14" t="str">
        <f ca="1">IFERROR(IF(ACCIONES[[#This Row],[REPLANTEO '#1]]&gt;TODAY(),1,""),"")</f>
        <v/>
      </c>
      <c r="AE59" s="14" t="str">
        <f ca="1">IFERROR(IF(ACCIONES[[#This Row],[REPLANTEO '#2 "Formato de replanteo"]]&gt;TODAY(),1,""),"")</f>
        <v/>
      </c>
      <c r="AF59" s="14" t="str">
        <f ca="1">IFERROR(IF(ACCIONES[[#This Row],[REPLANTEO '#3]]&gt;TODAY(),1,""),"")</f>
        <v/>
      </c>
      <c r="AG59" s="14" t="str">
        <f>IFERROR(IF(ACCIONES[[#This Row],[ESTATUS]]="CIERRE",1,""),"")</f>
        <v/>
      </c>
      <c r="AH59" s="14" t="str">
        <f>IFERROR(IF(ACCIONES[[#This Row],[ESTATUS]]="CERRADA",1,""),"")</f>
        <v/>
      </c>
      <c r="AI59" s="14">
        <f ca="1">IF(ACCIONES[[#This Row],[ESTATUS]]="Abierta",COUNT(ACCIONES[[#This Row],[CÓDIGO 4 EN FECHA DE CIERRE ]:[CÓDIGO 9 ESTATUS CERRADA]]),"")</f>
        <v>1</v>
      </c>
      <c r="AJ59" s="14" cm="1">
        <f t="array" aca="1" ref="AJ59"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59" s="14" t="str" cm="1">
        <f t="array" aca="1" ref="AK59"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59" s="14" t="str" cm="1">
        <f t="array" aca="1" ref="AL59"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59" s="14" t="str" cm="1">
        <f t="array" aca="1" ref="AM59"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59" s="14" t="b">
        <f ca="1">IFERROR(COUNTIF(ACCIONES[[#This Row],[CÓDIGO 11 POR VENCER FECHA CIERRE]:[CÓDIGO 14 FUERA DE REPLANTEO 3]],3)=1," ")</f>
        <v>0</v>
      </c>
      <c r="AO59" s="14" t="str">
        <f>IFERROR(VLOOKUP(ACCIONES[[#This Row],[DIRECCIÓN O GERENCIA]],AREAS[#All],3,0),"")</f>
        <v>jduarte@oomapasc.gob.mx</v>
      </c>
    </row>
    <row r="60" spans="3:41" ht="63">
      <c r="C60" s="71">
        <f>IF(ACCIONES[[#This Row],[FECHA DE APERTURA]]="","",YEAR(ACCIONES[[#This Row],[FECHA DE APERTURA]]))</f>
        <v>2026</v>
      </c>
      <c r="D60" s="71">
        <f>ROW()-1</f>
        <v>59</v>
      </c>
      <c r="E60" s="71"/>
      <c r="F60" s="14">
        <f>IF(YEAR(H60)=YEAR(H59), F59+1, 1)</f>
        <v>6</v>
      </c>
      <c r="G60" s="15" t="str">
        <f>IF(ACCIONES[[#This Row],[FECHA DE APERTURA]]="","",IF(ACCIONES[[#This Row],[Columna1]]="","AC#"&amp;ACCIONES[[#This Row],[foliox]]&amp;"\"&amp;YEAR(ACCIONES[[#This Row],[FECHA DE APERTURA]]),ACCIONES[[#This Row],[Columna1]]))</f>
        <v>AC#6\2026</v>
      </c>
      <c r="H60" s="17">
        <v>46063</v>
      </c>
      <c r="I60" s="18" t="s">
        <v>399</v>
      </c>
      <c r="J60" s="60">
        <v>46387</v>
      </c>
      <c r="K60" s="60"/>
      <c r="L60" s="60"/>
      <c r="M60" s="19"/>
      <c r="N60" s="20" t="s">
        <v>19</v>
      </c>
      <c r="O60" s="57" t="s">
        <v>339</v>
      </c>
      <c r="P60" s="21" t="s">
        <v>299</v>
      </c>
      <c r="Q60" s="21"/>
      <c r="R60" s="21"/>
      <c r="S60" s="21"/>
      <c r="T60" s="21"/>
      <c r="U60" s="72" t="str">
        <f>IF(ACCIONES[[#This Row],[Fecha Recibido]]="","",IF(NETWORKDAYS(ACCIONES[[#This Row],[Fecha entrega]],ACCIONES[[#This Row],[Fecha Recibido]])&lt;=5,1,0))</f>
        <v/>
      </c>
      <c r="V60" s="72" t="str">
        <f>IF(ACCIONES[[#This Row],[Fecha entrega]]="","",TEXT(ACCIONES[[#This Row],[Fecha entrega]],"MMMM"))</f>
        <v/>
      </c>
      <c r="W60" s="72" t="str">
        <f>IF(ACCIONES[[#This Row],[Fecha entrega]]="","",YEAR(ACCIONES[[#This Row],[Fecha entrega]]))</f>
        <v/>
      </c>
      <c r="X60" s="14" t="str">
        <f>IF(ACCIONES[[#This Row],[Fecha Recibido]]="","",TEXT(ACCIONES[[#This Row],[Fecha Recibido]],"mmmm"))</f>
        <v/>
      </c>
      <c r="Y60" s="14" t="str">
        <f>IF(ACCIONES[[#This Row],[Fecha Recibido]]="","",YEAR(ACCIONES[[#This Row],[Fecha Recibido]]))</f>
        <v/>
      </c>
      <c r="Z60" s="14" t="str">
        <f>_xlfn.CONCAT(ACCIONES[[#This Row],[DIRECCIÓN O GERENCIA]],ACCIONES[[#This Row],[ORIGEN]])</f>
        <v>Plantas PotabilizadorasIndicador</v>
      </c>
      <c r="AA60" s="14" t="str">
        <f>_xlfn.CONCAT(ACCIONES[[#This Row],[DIRECCIÓN O GERENCIA]],ACCIONES[[#This Row],[ESTATUS]])</f>
        <v>Plantas PotabilizadorasAbierta</v>
      </c>
      <c r="AB60" s="168">
        <f>IF(ACCIONES[[#This Row],[ESTATUS]]="","",MAX(ACCIONES[[#This Row],[FECHA DE CIERRE]:[REPLANTEO '#2 "Formato de replanteo"]]))</f>
        <v>46387</v>
      </c>
      <c r="AC60" s="14">
        <f ca="1">IFERROR(IF(ACCIONES[[#This Row],[FECHA DE CIERRE]]&gt;TODAY(),1,""),"")</f>
        <v>1</v>
      </c>
      <c r="AD60" s="14" t="str">
        <f ca="1">IFERROR(IF(ACCIONES[[#This Row],[REPLANTEO '#1]]&gt;TODAY(),1,""),"")</f>
        <v/>
      </c>
      <c r="AE60" s="14" t="str">
        <f ca="1">IFERROR(IF(ACCIONES[[#This Row],[REPLANTEO '#2 "Formato de replanteo"]]&gt;TODAY(),1,""),"")</f>
        <v/>
      </c>
      <c r="AF60" s="14" t="str">
        <f ca="1">IFERROR(IF(ACCIONES[[#This Row],[REPLANTEO '#3]]&gt;TODAY(),1,""),"")</f>
        <v/>
      </c>
      <c r="AG60" s="14" t="str">
        <f>IFERROR(IF(ACCIONES[[#This Row],[ESTATUS]]="CIERRE",1,""),"")</f>
        <v/>
      </c>
      <c r="AH60" s="14" t="str">
        <f>IFERROR(IF(ACCIONES[[#This Row],[ESTATUS]]="CERRADA",1,""),"")</f>
        <v/>
      </c>
      <c r="AI60" s="14">
        <f ca="1">IF(ACCIONES[[#This Row],[ESTATUS]]="Abierta",COUNT(ACCIONES[[#This Row],[CÓDIGO 4 EN FECHA DE CIERRE ]:[CÓDIGO 9 ESTATUS CERRADA]]),"")</f>
        <v>1</v>
      </c>
      <c r="AJ60" s="14" cm="1">
        <f t="array" aca="1" ref="AJ60"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60" s="14" t="str" cm="1">
        <f t="array" aca="1" ref="AK60"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0" s="14" t="str" cm="1">
        <f t="array" aca="1" ref="AL60"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0" s="14" t="str" cm="1">
        <f t="array" aca="1" ref="AM60"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0" s="14" t="b">
        <f ca="1">IFERROR(COUNTIF(ACCIONES[[#This Row],[CÓDIGO 11 POR VENCER FECHA CIERRE]:[CÓDIGO 14 FUERA DE REPLANTEO 3]],3)=1," ")</f>
        <v>0</v>
      </c>
      <c r="AO60" s="14" t="str">
        <f>IFERROR(VLOOKUP(ACCIONES[[#This Row],[DIRECCIÓN O GERENCIA]],AREAS[#All],3,0),"")</f>
        <v>jaenriquez@oomapasc.gob.mx, agalvez@oomapasc.gob.mx</v>
      </c>
    </row>
    <row r="61" spans="3:41" ht="105">
      <c r="C61" s="71">
        <f>IF(ACCIONES[[#This Row],[FECHA DE APERTURA]]="","",YEAR(ACCIONES[[#This Row],[FECHA DE APERTURA]]))</f>
        <v>2026</v>
      </c>
      <c r="D61" s="71">
        <f>ROW()-1</f>
        <v>60</v>
      </c>
      <c r="E61" s="71"/>
      <c r="F61" s="14">
        <f>IF(YEAR(H61)=YEAR(H60), F60+1, 1)</f>
        <v>7</v>
      </c>
      <c r="G61" s="15" t="str">
        <f>IF(ACCIONES[[#This Row],[FECHA DE APERTURA]]="","",IF(ACCIONES[[#This Row],[Columna1]]="","AC#"&amp;ACCIONES[[#This Row],[foliox]]&amp;"\"&amp;YEAR(ACCIONES[[#This Row],[FECHA DE APERTURA]]),ACCIONES[[#This Row],[Columna1]]))</f>
        <v>AC#7\2026</v>
      </c>
      <c r="H61" s="17">
        <v>46101</v>
      </c>
      <c r="I61" s="18" t="s">
        <v>400</v>
      </c>
      <c r="J61" s="60">
        <v>46155</v>
      </c>
      <c r="K61" s="60"/>
      <c r="L61" s="60"/>
      <c r="M61" s="19"/>
      <c r="N61" s="20" t="s">
        <v>19</v>
      </c>
      <c r="O61" s="57" t="s">
        <v>339</v>
      </c>
      <c r="P61" s="21" t="s">
        <v>349</v>
      </c>
      <c r="Q61" s="21"/>
      <c r="R61" s="21"/>
      <c r="S61" s="21"/>
      <c r="T61" s="21"/>
      <c r="U61" s="72" t="str">
        <f>IF(ACCIONES[[#This Row],[Fecha Recibido]]="","",IF(NETWORKDAYS(ACCIONES[[#This Row],[Fecha entrega]],ACCIONES[[#This Row],[Fecha Recibido]])&lt;=5,1,0))</f>
        <v/>
      </c>
      <c r="V61" s="72" t="str">
        <f>IF(ACCIONES[[#This Row],[Fecha entrega]]="","",TEXT(ACCIONES[[#This Row],[Fecha entrega]],"MMMM"))</f>
        <v/>
      </c>
      <c r="W61" s="72" t="str">
        <f>IF(ACCIONES[[#This Row],[Fecha entrega]]="","",YEAR(ACCIONES[[#This Row],[Fecha entrega]]))</f>
        <v/>
      </c>
      <c r="X61" s="14" t="str">
        <f>IF(ACCIONES[[#This Row],[Fecha Recibido]]="","",TEXT(ACCIONES[[#This Row],[Fecha Recibido]],"mmmm"))</f>
        <v/>
      </c>
      <c r="Y61" s="14" t="str">
        <f>IF(ACCIONES[[#This Row],[Fecha Recibido]]="","",YEAR(ACCIONES[[#This Row],[Fecha Recibido]]))</f>
        <v/>
      </c>
      <c r="Z61" s="14" t="str">
        <f>_xlfn.CONCAT(ACCIONES[[#This Row],[DIRECCIÓN O GERENCIA]],ACCIONES[[#This Row],[ORIGEN]])</f>
        <v>Plantas PotabilizadorasAuditoría #3</v>
      </c>
      <c r="AA61" s="14" t="str">
        <f>_xlfn.CONCAT(ACCIONES[[#This Row],[DIRECCIÓN O GERENCIA]],ACCIONES[[#This Row],[ESTATUS]])</f>
        <v>Plantas PotabilizadorasAbierta</v>
      </c>
      <c r="AB61" s="168">
        <f>IF(ACCIONES[[#This Row],[ESTATUS]]="","",MAX(ACCIONES[[#This Row],[FECHA DE CIERRE]:[REPLANTEO '#2 "Formato de replanteo"]]))</f>
        <v>46155</v>
      </c>
      <c r="AC61" s="14">
        <f ca="1">IFERROR(IF(ACCIONES[[#This Row],[FECHA DE CIERRE]]&gt;TODAY(),1,""),"")</f>
        <v>1</v>
      </c>
      <c r="AD61" s="14" t="str">
        <f ca="1">IFERROR(IF(ACCIONES[[#This Row],[REPLANTEO '#1]]&gt;TODAY(),1,""),"")</f>
        <v/>
      </c>
      <c r="AE61" s="14" t="str">
        <f ca="1">IFERROR(IF(ACCIONES[[#This Row],[REPLANTEO '#2 "Formato de replanteo"]]&gt;TODAY(),1,""),"")</f>
        <v/>
      </c>
      <c r="AF61" s="14" t="str">
        <f ca="1">IFERROR(IF(ACCIONES[[#This Row],[REPLANTEO '#3]]&gt;TODAY(),1,""),"")</f>
        <v/>
      </c>
      <c r="AG61" s="14" t="str">
        <f>IFERROR(IF(ACCIONES[[#This Row],[ESTATUS]]="CIERRE",1,""),"")</f>
        <v/>
      </c>
      <c r="AH61" s="14" t="str">
        <f>IFERROR(IF(ACCIONES[[#This Row],[ESTATUS]]="CERRADA",1,""),"")</f>
        <v/>
      </c>
      <c r="AI61" s="14">
        <f ca="1">IF(ACCIONES[[#This Row],[ESTATUS]]="Abierta",COUNT(ACCIONES[[#This Row],[CÓDIGO 4 EN FECHA DE CIERRE ]:[CÓDIGO 9 ESTATUS CERRADA]]),"")</f>
        <v>1</v>
      </c>
      <c r="AJ61" s="14" cm="1">
        <f t="array" aca="1" ref="AJ61"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61" s="14" t="str" cm="1">
        <f t="array" aca="1" ref="AK61"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1" s="14" t="str" cm="1">
        <f t="array" aca="1" ref="AL61"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1" s="14" t="str" cm="1">
        <f t="array" aca="1" ref="AM61"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1" s="14" t="b">
        <f ca="1">IFERROR(COUNTIF(ACCIONES[[#This Row],[CÓDIGO 11 POR VENCER FECHA CIERRE]:[CÓDIGO 14 FUERA DE REPLANTEO 3]],3)=1," ")</f>
        <v>0</v>
      </c>
      <c r="AO61" s="14" t="str">
        <f>IFERROR(VLOOKUP(ACCIONES[[#This Row],[DIRECCIÓN O GERENCIA]],AREAS[#All],3,0),"")</f>
        <v>jaenriquez@oomapasc.gob.mx, agalvez@oomapasc.gob.mx</v>
      </c>
    </row>
    <row r="62" spans="3:41" ht="63">
      <c r="C62" s="71">
        <f>IF(ACCIONES[[#This Row],[FECHA DE APERTURA]]="","",YEAR(ACCIONES[[#This Row],[FECHA DE APERTURA]]))</f>
        <v>2026</v>
      </c>
      <c r="D62" s="71">
        <f>ROW()-1</f>
        <v>61</v>
      </c>
      <c r="E62" s="71"/>
      <c r="F62" s="14">
        <f>IF(YEAR(H62)=YEAR(H61), F61+1, 1)</f>
        <v>8</v>
      </c>
      <c r="G62" s="15" t="str">
        <f>IF(ACCIONES[[#This Row],[FECHA DE APERTURA]]="","",IF(ACCIONES[[#This Row],[Columna1]]="","AC#"&amp;ACCIONES[[#This Row],[foliox]]&amp;"\"&amp;YEAR(ACCIONES[[#This Row],[FECHA DE APERTURA]]),ACCIONES[[#This Row],[Columna1]]))</f>
        <v>AC#8\2026</v>
      </c>
      <c r="H62" s="17">
        <v>46101</v>
      </c>
      <c r="I62" s="18" t="s">
        <v>401</v>
      </c>
      <c r="J62" s="60">
        <v>46155</v>
      </c>
      <c r="K62" s="60"/>
      <c r="L62" s="60"/>
      <c r="M62" s="19"/>
      <c r="N62" s="20" t="s">
        <v>19</v>
      </c>
      <c r="O62" s="57" t="s">
        <v>339</v>
      </c>
      <c r="P62" s="21" t="s">
        <v>349</v>
      </c>
      <c r="Q62" s="21"/>
      <c r="R62" s="21"/>
      <c r="S62" s="21"/>
      <c r="T62" s="21"/>
      <c r="U62" s="72" t="str">
        <f>IF(ACCIONES[[#This Row],[Fecha Recibido]]="","",IF(NETWORKDAYS(ACCIONES[[#This Row],[Fecha entrega]],ACCIONES[[#This Row],[Fecha Recibido]])&lt;=5,1,0))</f>
        <v/>
      </c>
      <c r="V62" s="72" t="str">
        <f>IF(ACCIONES[[#This Row],[Fecha entrega]]="","",TEXT(ACCIONES[[#This Row],[Fecha entrega]],"MMMM"))</f>
        <v/>
      </c>
      <c r="W62" s="72" t="str">
        <f>IF(ACCIONES[[#This Row],[Fecha entrega]]="","",YEAR(ACCIONES[[#This Row],[Fecha entrega]]))</f>
        <v/>
      </c>
      <c r="X62" s="14" t="str">
        <f>IF(ACCIONES[[#This Row],[Fecha Recibido]]="","",TEXT(ACCIONES[[#This Row],[Fecha Recibido]],"mmmm"))</f>
        <v/>
      </c>
      <c r="Y62" s="14" t="str">
        <f>IF(ACCIONES[[#This Row],[Fecha Recibido]]="","",YEAR(ACCIONES[[#This Row],[Fecha Recibido]]))</f>
        <v/>
      </c>
      <c r="Z62" s="14" t="str">
        <f>_xlfn.CONCAT(ACCIONES[[#This Row],[DIRECCIÓN O GERENCIA]],ACCIONES[[#This Row],[ORIGEN]])</f>
        <v>Plantas PotabilizadorasAuditoría #3</v>
      </c>
      <c r="AA62" s="14" t="str">
        <f>_xlfn.CONCAT(ACCIONES[[#This Row],[DIRECCIÓN O GERENCIA]],ACCIONES[[#This Row],[ESTATUS]])</f>
        <v>Plantas PotabilizadorasAbierta</v>
      </c>
      <c r="AB62" s="168">
        <f>IF(ACCIONES[[#This Row],[ESTATUS]]="","",MAX(ACCIONES[[#This Row],[FECHA DE CIERRE]:[REPLANTEO '#2 "Formato de replanteo"]]))</f>
        <v>46155</v>
      </c>
      <c r="AC62" s="14">
        <f ca="1">IFERROR(IF(ACCIONES[[#This Row],[FECHA DE CIERRE]]&gt;TODAY(),1,""),"")</f>
        <v>1</v>
      </c>
      <c r="AD62" s="14" t="str">
        <f ca="1">IFERROR(IF(ACCIONES[[#This Row],[REPLANTEO '#1]]&gt;TODAY(),1,""),"")</f>
        <v/>
      </c>
      <c r="AE62" s="14" t="str">
        <f ca="1">IFERROR(IF(ACCIONES[[#This Row],[REPLANTEO '#2 "Formato de replanteo"]]&gt;TODAY(),1,""),"")</f>
        <v/>
      </c>
      <c r="AF62" s="14" t="str">
        <f ca="1">IFERROR(IF(ACCIONES[[#This Row],[REPLANTEO '#3]]&gt;TODAY(),1,""),"")</f>
        <v/>
      </c>
      <c r="AG62" s="14" t="str">
        <f>IFERROR(IF(ACCIONES[[#This Row],[ESTATUS]]="CIERRE",1,""),"")</f>
        <v/>
      </c>
      <c r="AH62" s="14" t="str">
        <f>IFERROR(IF(ACCIONES[[#This Row],[ESTATUS]]="CERRADA",1,""),"")</f>
        <v/>
      </c>
      <c r="AI62" s="14">
        <f ca="1">IF(ACCIONES[[#This Row],[ESTATUS]]="Abierta",COUNT(ACCIONES[[#This Row],[CÓDIGO 4 EN FECHA DE CIERRE ]:[CÓDIGO 9 ESTATUS CERRADA]]),"")</f>
        <v>1</v>
      </c>
      <c r="AJ62" s="14" cm="1">
        <f t="array" aca="1" ref="AJ62"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62" s="14" t="str" cm="1">
        <f t="array" aca="1" ref="AK62"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2" s="14" t="str" cm="1">
        <f t="array" aca="1" ref="AL62"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2" s="14" t="str" cm="1">
        <f t="array" aca="1" ref="AM62"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2" s="14" t="b">
        <f ca="1">IFERROR(COUNTIF(ACCIONES[[#This Row],[CÓDIGO 11 POR VENCER FECHA CIERRE]:[CÓDIGO 14 FUERA DE REPLANTEO 3]],3)=1," ")</f>
        <v>0</v>
      </c>
      <c r="AO62" s="14" t="str">
        <f>IFERROR(VLOOKUP(ACCIONES[[#This Row],[DIRECCIÓN O GERENCIA]],AREAS[#All],3,0),"")</f>
        <v>jaenriquez@oomapasc.gob.mx, agalvez@oomapasc.gob.mx</v>
      </c>
    </row>
    <row r="63" spans="3:41" ht="31.5">
      <c r="C63" s="71">
        <f>IF(ACCIONES[[#This Row],[FECHA DE APERTURA]]="","",YEAR(ACCIONES[[#This Row],[FECHA DE APERTURA]]))</f>
        <v>2026</v>
      </c>
      <c r="D63" s="71">
        <f>ROW()-1</f>
        <v>62</v>
      </c>
      <c r="E63" s="71"/>
      <c r="F63" s="14">
        <f>IF(YEAR(H63)=YEAR(H62), F62+1, 1)</f>
        <v>9</v>
      </c>
      <c r="G63" s="15" t="str">
        <f>IF(ACCIONES[[#This Row],[FECHA DE APERTURA]]="","",IF(ACCIONES[[#This Row],[Columna1]]="","AC#"&amp;ACCIONES[[#This Row],[foliox]]&amp;"\"&amp;YEAR(ACCIONES[[#This Row],[FECHA DE APERTURA]]),ACCIONES[[#This Row],[Columna1]]))</f>
        <v>AC#9\2026</v>
      </c>
      <c r="H63" s="17">
        <v>46126</v>
      </c>
      <c r="I63" s="18" t="s">
        <v>402</v>
      </c>
      <c r="J63" s="60">
        <v>46157</v>
      </c>
      <c r="K63" s="60"/>
      <c r="L63" s="60"/>
      <c r="M63" s="19"/>
      <c r="N63" s="20" t="s">
        <v>92</v>
      </c>
      <c r="O63" s="57" t="s">
        <v>339</v>
      </c>
      <c r="P63" s="21" t="s">
        <v>299</v>
      </c>
      <c r="Q63" s="21"/>
      <c r="R63" s="21"/>
      <c r="S63" s="21"/>
      <c r="T63" s="21"/>
      <c r="U63" s="72" t="str">
        <f>IF(ACCIONES[[#This Row],[Fecha Recibido]]="","",IF(NETWORKDAYS(ACCIONES[[#This Row],[Fecha entrega]],ACCIONES[[#This Row],[Fecha Recibido]])&lt;=5,1,0))</f>
        <v/>
      </c>
      <c r="V63" s="72" t="str">
        <f>IF(ACCIONES[[#This Row],[Fecha entrega]]="","",TEXT(ACCIONES[[#This Row],[Fecha entrega]],"MMMM"))</f>
        <v/>
      </c>
      <c r="W63" s="72" t="str">
        <f>IF(ACCIONES[[#This Row],[Fecha entrega]]="","",YEAR(ACCIONES[[#This Row],[Fecha entrega]]))</f>
        <v/>
      </c>
      <c r="X63" s="14" t="str">
        <f>IF(ACCIONES[[#This Row],[Fecha Recibido]]="","",TEXT(ACCIONES[[#This Row],[Fecha Recibido]],"mmmm"))</f>
        <v/>
      </c>
      <c r="Y63" s="14" t="str">
        <f>IF(ACCIONES[[#This Row],[Fecha Recibido]]="","",YEAR(ACCIONES[[#This Row],[Fecha Recibido]]))</f>
        <v/>
      </c>
      <c r="Z63" s="14" t="str">
        <f>_xlfn.CONCAT(ACCIONES[[#This Row],[DIRECCIÓN O GERENCIA]],ACCIONES[[#This Row],[ORIGEN]])</f>
        <v>Suburbano TécnicoIndicador</v>
      </c>
      <c r="AA63" s="14" t="str">
        <f>_xlfn.CONCAT(ACCIONES[[#This Row],[DIRECCIÓN O GERENCIA]],ACCIONES[[#This Row],[ESTATUS]])</f>
        <v>Suburbano TécnicoAbierta</v>
      </c>
      <c r="AB63" s="168">
        <f>IF(ACCIONES[[#This Row],[ESTATUS]]="","",MAX(ACCIONES[[#This Row],[FECHA DE CIERRE]:[REPLANTEO '#2 "Formato de replanteo"]]))</f>
        <v>46157</v>
      </c>
      <c r="AC63" s="14">
        <f ca="1">IFERROR(IF(ACCIONES[[#This Row],[FECHA DE CIERRE]]&gt;TODAY(),1,""),"")</f>
        <v>1</v>
      </c>
      <c r="AD63" s="14" t="str">
        <f ca="1">IFERROR(IF(ACCIONES[[#This Row],[REPLANTEO '#1]]&gt;TODAY(),1,""),"")</f>
        <v/>
      </c>
      <c r="AE63" s="14" t="str">
        <f ca="1">IFERROR(IF(ACCIONES[[#This Row],[REPLANTEO '#2 "Formato de replanteo"]]&gt;TODAY(),1,""),"")</f>
        <v/>
      </c>
      <c r="AF63" s="14" t="str">
        <f ca="1">IFERROR(IF(ACCIONES[[#This Row],[REPLANTEO '#3]]&gt;TODAY(),1,""),"")</f>
        <v/>
      </c>
      <c r="AG63" s="14" t="str">
        <f>IFERROR(IF(ACCIONES[[#This Row],[ESTATUS]]="CIERRE",1,""),"")</f>
        <v/>
      </c>
      <c r="AH63" s="14" t="str">
        <f>IFERROR(IF(ACCIONES[[#This Row],[ESTATUS]]="CERRADA",1,""),"")</f>
        <v/>
      </c>
      <c r="AI63" s="14">
        <f ca="1">IF(ACCIONES[[#This Row],[ESTATUS]]="Abierta",COUNT(ACCIONES[[#This Row],[CÓDIGO 4 EN FECHA DE CIERRE ]:[CÓDIGO 9 ESTATUS CERRADA]]),"")</f>
        <v>1</v>
      </c>
      <c r="AJ63" s="14" cm="1">
        <f t="array" aca="1" ref="AJ63"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63" s="14" t="str" cm="1">
        <f t="array" aca="1" ref="AK63"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3" s="14" t="str" cm="1">
        <f t="array" aca="1" ref="AL63"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3" s="14" t="str" cm="1">
        <f t="array" aca="1" ref="AM63"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3" s="14" t="b">
        <f ca="1">IFERROR(COUNTIF(ACCIONES[[#This Row],[CÓDIGO 11 POR VENCER FECHA CIERRE]:[CÓDIGO 14 FUERA DE REPLANTEO 3]],3)=1," ")</f>
        <v>0</v>
      </c>
      <c r="AO63" s="14" t="str">
        <f>IFERROR(VLOOKUP(ACCIONES[[#This Row],[DIRECCIÓN O GERENCIA]],AREAS[#All],3,0),"")</f>
        <v>mmendoza@oomapasc.gob.mx</v>
      </c>
    </row>
    <row r="64" spans="3:41" ht="31.5">
      <c r="C64" s="71">
        <f>IF(ACCIONES[[#This Row],[FECHA DE APERTURA]]="","",YEAR(ACCIONES[[#This Row],[FECHA DE APERTURA]]))</f>
        <v>2026</v>
      </c>
      <c r="D64" s="71">
        <f>ROW()-1</f>
        <v>63</v>
      </c>
      <c r="E64" s="71"/>
      <c r="F64" s="14">
        <f>IF(YEAR(H64)=YEAR(H63), F63+1, 1)</f>
        <v>10</v>
      </c>
      <c r="G64" s="15" t="str">
        <f>IF(ACCIONES[[#This Row],[FECHA DE APERTURA]]="","",IF(ACCIONES[[#This Row],[Columna1]]="","AC#"&amp;ACCIONES[[#This Row],[foliox]]&amp;"\"&amp;YEAR(ACCIONES[[#This Row],[FECHA DE APERTURA]]),ACCIONES[[#This Row],[Columna1]]))</f>
        <v>AC#10\2026</v>
      </c>
      <c r="H64" s="17">
        <v>46126</v>
      </c>
      <c r="I64" s="18" t="s">
        <v>403</v>
      </c>
      <c r="J64" s="60">
        <v>46387</v>
      </c>
      <c r="K64" s="60"/>
      <c r="L64" s="60"/>
      <c r="M64" s="19"/>
      <c r="N64" s="20" t="s">
        <v>92</v>
      </c>
      <c r="O64" s="57" t="s">
        <v>339</v>
      </c>
      <c r="P64" s="21" t="s">
        <v>299</v>
      </c>
      <c r="Q64" s="21"/>
      <c r="R64" s="21"/>
      <c r="S64" s="21"/>
      <c r="T64" s="21"/>
      <c r="U64" s="72" t="str">
        <f>IF(ACCIONES[[#This Row],[Fecha Recibido]]="","",IF(NETWORKDAYS(ACCIONES[[#This Row],[Fecha entrega]],ACCIONES[[#This Row],[Fecha Recibido]])&lt;=5,1,0))</f>
        <v/>
      </c>
      <c r="V64" s="72" t="str">
        <f>IF(ACCIONES[[#This Row],[Fecha entrega]]="","",TEXT(ACCIONES[[#This Row],[Fecha entrega]],"MMMM"))</f>
        <v/>
      </c>
      <c r="W64" s="72" t="str">
        <f>IF(ACCIONES[[#This Row],[Fecha entrega]]="","",YEAR(ACCIONES[[#This Row],[Fecha entrega]]))</f>
        <v/>
      </c>
      <c r="X64" s="14" t="str">
        <f>IF(ACCIONES[[#This Row],[Fecha Recibido]]="","",TEXT(ACCIONES[[#This Row],[Fecha Recibido]],"mmmm"))</f>
        <v/>
      </c>
      <c r="Y64" s="14" t="str">
        <f>IF(ACCIONES[[#This Row],[Fecha Recibido]]="","",YEAR(ACCIONES[[#This Row],[Fecha Recibido]]))</f>
        <v/>
      </c>
      <c r="Z64" s="14" t="str">
        <f>_xlfn.CONCAT(ACCIONES[[#This Row],[DIRECCIÓN O GERENCIA]],ACCIONES[[#This Row],[ORIGEN]])</f>
        <v>Suburbano TécnicoIndicador</v>
      </c>
      <c r="AA64" s="14" t="str">
        <f>_xlfn.CONCAT(ACCIONES[[#This Row],[DIRECCIÓN O GERENCIA]],ACCIONES[[#This Row],[ESTATUS]])</f>
        <v>Suburbano TécnicoAbierta</v>
      </c>
      <c r="AB64" s="168">
        <f>IF(ACCIONES[[#This Row],[ESTATUS]]="","",MAX(ACCIONES[[#This Row],[FECHA DE CIERRE]:[REPLANTEO '#2 "Formato de replanteo"]]))</f>
        <v>46387</v>
      </c>
      <c r="AC64" s="14">
        <f ca="1">IFERROR(IF(ACCIONES[[#This Row],[FECHA DE CIERRE]]&gt;TODAY(),1,""),"")</f>
        <v>1</v>
      </c>
      <c r="AD64" s="14" t="str">
        <f ca="1">IFERROR(IF(ACCIONES[[#This Row],[REPLANTEO '#1]]&gt;TODAY(),1,""),"")</f>
        <v/>
      </c>
      <c r="AE64" s="14" t="str">
        <f ca="1">IFERROR(IF(ACCIONES[[#This Row],[REPLANTEO '#2 "Formato de replanteo"]]&gt;TODAY(),1,""),"")</f>
        <v/>
      </c>
      <c r="AF64" s="14" t="str">
        <f ca="1">IFERROR(IF(ACCIONES[[#This Row],[REPLANTEO '#3]]&gt;TODAY(),1,""),"")</f>
        <v/>
      </c>
      <c r="AG64" s="14" t="str">
        <f>IFERROR(IF(ACCIONES[[#This Row],[ESTATUS]]="CIERRE",1,""),"")</f>
        <v/>
      </c>
      <c r="AH64" s="14" t="str">
        <f>IFERROR(IF(ACCIONES[[#This Row],[ESTATUS]]="CERRADA",1,""),"")</f>
        <v/>
      </c>
      <c r="AI64" s="14">
        <f ca="1">IF(ACCIONES[[#This Row],[ESTATUS]]="Abierta",COUNT(ACCIONES[[#This Row],[CÓDIGO 4 EN FECHA DE CIERRE ]:[CÓDIGO 9 ESTATUS CERRADA]]),"")</f>
        <v>1</v>
      </c>
      <c r="AJ64" s="14" cm="1">
        <f t="array" aca="1" ref="AJ64" ca="1">IFERROR(_xlfn.IFS(ACCIONES[[#This Row],[FECHA DE CIERRE]]&lt;TODAY(),"",ACCIONES[[#This Row],[FECHA DE CIERRE]]&gt;TODAY()+10,10,ACCIONES[[#This Row],[FECHA DE CIERRE]]&gt;TODAY()+1,3,ACCIONES[[#This Row],[FECHA DE CIERRE]]&gt;TODAY()+2,3,ACCIONES[[#This Row],[FECHA DE CIERRE]]&gt;TODAY()+3,3,ACCIONES[[#This Row],[FECHA DE CIERRE]]&gt;TODAY()+4,3,ACCIONES[[#This Row],[FECHA DE CIERRE]]&gt;TODAY()+5,3,ACCIONES[[#This Row],[FECHA DE CIERRE]]&gt;TODAY()+6,3,ACCIONES[[#This Row],[FECHA DE CIERRE]]&gt;TODAY()+7,3,ACCIONES[[#This Row],[FECHA DE CIERRE]]&gt;TODAY()+8,3,ACCIONES[[#This Row],[FECHA DE CIERRE]]&gt;TODAY()+9,3,ACCIONES[[#This Row],[FECHA DE CIERRE]]=TODAY()+1,3),"")</f>
        <v>10</v>
      </c>
      <c r="AK64" s="14" t="str" cm="1">
        <f t="array" aca="1" ref="AK64" ca="1">IFERROR(_xlfn.IFS(ACCIONES[[#This Row],[REPLANTEO '#1]]&lt;TODAY(),"",ACCIONES[[#This Row],[REPLANTEO '#1]]&gt;TODAY()+10,10,ACCIONES[[#This Row],[REPLANTEO '#1]]&gt;TODAY()+1,3,ACCIONES[[#This Row],[REPLANTEO '#1]]&gt;TODAY()+2,3,ACCIONES[[#This Row],[REPLANTEO '#1]]&gt;TODAY()+3,3,ACCIONES[[#This Row],[REPLANTEO '#1]]&gt;TODAY()+4,3,ACCIONES[[#This Row],[REPLANTEO '#1]]&gt;TODAY()+5,3,ACCIONES[[#This Row],[REPLANTEO '#1]]&gt;TODAY()+6,3,ACCIONES[[#This Row],[REPLANTEO '#1]]&gt;TODAY()+7,3,ACCIONES[[#This Row],[REPLANTEO '#1]]&gt;TODAY()+8,3,ACCIONES[[#This Row],[REPLANTEO '#1]]&gt;TODAY()+9,3,ACCIONES[[#This Row],[REPLANTEO '#1]]=TODAY()+1,3),"")</f>
        <v/>
      </c>
      <c r="AL64" s="14" t="str" cm="1">
        <f t="array" aca="1" ref="AL64" ca="1">IFERROR(_xlfn.IFS(ACCIONES[[#This Row],[REPLANTEO '#2 "Formato de replanteo"]]&lt;TODAY(),"",ACCIONES[[#This Row],[REPLANTEO '#2 "Formato de replanteo"]]&gt;TODAY()+10,10,ACCIONES[[#This Row],[REPLANTEO '#2 "Formato de replanteo"]]&gt;TODAY()+1,3,ACCIONES[[#This Row],[REPLANTEO '#2 "Formato de replanteo"]]&gt;TODAY()+2,3,ACCIONES[[#This Row],[REPLANTEO '#2 "Formato de replanteo"]]&gt;TODAY()+3,3,ACCIONES[[#This Row],[REPLANTEO '#2 "Formato de replanteo"]]&gt;TODAY()+4,3,ACCIONES[[#This Row],[REPLANTEO '#2 "Formato de replanteo"]]&gt;TODAY()+5,3,ACCIONES[[#This Row],[REPLANTEO '#2 "Formato de replanteo"]]&gt;TODAY()+6,3,ACCIONES[[#This Row],[REPLANTEO '#2 "Formato de replanteo"]]&gt;TODAY()+7,3,ACCIONES[[#This Row],[REPLANTEO '#2 "Formato de replanteo"]]&gt;TODAY()+8,3,ACCIONES[[#This Row],[REPLANTEO '#2 "Formato de replanteo"]]&gt;TODAY()+9,3,ACCIONES[[#This Row],[REPLANTEO '#2 "Formato de replanteo"]]=TODAY()+1,3),"")</f>
        <v/>
      </c>
      <c r="AM64" s="14" t="str" cm="1">
        <f t="array" aca="1" ref="AM64" ca="1">IFERROR(_xlfn.IFS(ACCIONES[[#This Row],[REPLANTEO '#3]]&lt;TODAY(),"",ACCIONES[[#This Row],[REPLANTEO '#3]]&gt;TODAY()+10,10,ACCIONES[[#This Row],[REPLANTEO '#3]]&gt;TODAY()+1,3,ACCIONES[[#This Row],[REPLANTEO '#3]]&gt;TODAY()+2,3,ACCIONES[[#This Row],[REPLANTEO '#3]]&gt;TODAY()+3,3,ACCIONES[[#This Row],[REPLANTEO '#3]]&gt;TODAY()+4,3,ACCIONES[[#This Row],[REPLANTEO '#3]]&gt;TODAY()+5,3,ACCIONES[[#This Row],[REPLANTEO '#3]]&gt;TODAY()+6,3,ACCIONES[[#This Row],[REPLANTEO '#3]]&gt;TODAY()+7,3,ACCIONES[[#This Row],[REPLANTEO '#3]]&gt;TODAY()+8,3,ACCIONES[[#This Row],[REPLANTEO '#3]]&gt;TODAY()+9,3,ACCIONES[[#This Row],[REPLANTEO '#3]]=TODAY()+1,3),"")</f>
        <v/>
      </c>
      <c r="AN64" s="14" t="b">
        <f ca="1">IFERROR(COUNTIF(ACCIONES[[#This Row],[CÓDIGO 11 POR VENCER FECHA CIERRE]:[CÓDIGO 14 FUERA DE REPLANTEO 3]],3)=1," ")</f>
        <v>0</v>
      </c>
      <c r="AO64" s="14" t="str">
        <f>IFERROR(VLOOKUP(ACCIONES[[#This Row],[DIRECCIÓN O GERENCIA]],AREAS[#All],3,0),"")</f>
        <v>mmendoza@oomapasc.gob.mx</v>
      </c>
    </row>
  </sheetData>
  <conditionalFormatting sqref="H2:I2 H4:I100002">
    <cfRule type="expression" dxfId="85" priority="1">
      <formula>$O2="Cierre"</formula>
    </cfRule>
  </conditionalFormatting>
  <conditionalFormatting sqref="H3:I3">
    <cfRule type="expression" dxfId="84" priority="2">
      <formula>$O3="CIERRE"</formula>
    </cfRule>
  </conditionalFormatting>
  <conditionalFormatting sqref="J2:L1048576">
    <cfRule type="cellIs" dxfId="83" priority="4" operator="equal">
      <formula>0</formula>
    </cfRule>
    <cfRule type="cellIs" dxfId="82" priority="5" operator="lessThan">
      <formula>TODAY()</formula>
    </cfRule>
    <cfRule type="cellIs" dxfId="81" priority="6" operator="greaterThan">
      <formula>TODAY()</formula>
    </cfRule>
  </conditionalFormatting>
  <conditionalFormatting sqref="J3:L3">
    <cfRule type="cellIs" dxfId="80" priority="3" operator="between">
      <formula>TODAY()+10</formula>
      <formula>TODAY()+1</formula>
    </cfRule>
  </conditionalFormatting>
  <dataValidations count="1">
    <dataValidation type="list" allowBlank="1" showInputMessage="1" showErrorMessage="1" sqref="O2:O64" xr:uid="{6F5129A1-C255-4A0F-AF05-D953E667D39C}">
      <formula1>"Abierta,Cierre,Cerrada"</formula1>
    </dataValidation>
  </dataValidations>
  <hyperlinks>
    <hyperlink ref="AO34" r:id="rId1" display="hpaez@ooomapasc.gob.mx" xr:uid="{D03C6AAD-D1B1-478B-909C-AC4DE0886B99}"/>
  </hyperlinks>
  <printOptions horizontalCentered="1" verticalCentered="1"/>
  <pageMargins left="0.70866141732283472" right="0.70866141732283472" top="0.74803149606299213" bottom="0.74803149606299213" header="0.31496062992125984" footer="0.31496062992125984"/>
  <pageSetup scale="75" orientation="landscape"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D53A5EB6-B455-4BD8-941C-E92B2A381FA3}">
          <x14:formula1>
            <xm:f>RD!$B$4:$B$36</xm:f>
          </x14:formula1>
          <xm:sqref>N2:N64</xm:sqref>
        </x14:dataValidation>
        <x14:dataValidation type="list" allowBlank="1" showInputMessage="1" showErrorMessage="1" xr:uid="{D38C355B-994D-468B-8CC0-F011AC540DEC}">
          <x14:formula1>
            <xm:f>Auditores!$B$3:$B$26</xm:f>
          </x14:formula1>
          <xm:sqref>R2:R64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0818-913F-4A3F-B93E-3B6FAA99B4E6}">
  <sheetPr codeName="Hoja9"/>
  <dimension ref="B2:H4"/>
  <sheetViews>
    <sheetView workbookViewId="0">
      <selection activeCell="E15" sqref="E15"/>
    </sheetView>
  </sheetViews>
  <sheetFormatPr defaultColWidth="11" defaultRowHeight="16.5"/>
  <cols>
    <col min="9" max="10" width="25" customWidth="1"/>
    <col min="11" max="11" width="29.125" customWidth="1"/>
    <col min="12" max="12" width="25" customWidth="1"/>
  </cols>
  <sheetData>
    <row r="2" spans="2:8">
      <c r="B2" t="s">
        <v>12</v>
      </c>
      <c r="G2" s="120" t="s">
        <v>404</v>
      </c>
      <c r="H2" t="s">
        <v>405</v>
      </c>
    </row>
    <row r="3" spans="2:8">
      <c r="B3" t="s">
        <v>78</v>
      </c>
    </row>
    <row r="4" spans="2:8">
      <c r="B4" t="s">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81DE-A4FD-4B30-A171-79F45885D53C}">
  <sheetPr codeName="Hoja8"/>
  <dimension ref="B1:E34"/>
  <sheetViews>
    <sheetView zoomScaleNormal="100" workbookViewId="0">
      <selection activeCell="B5" sqref="B5"/>
    </sheetView>
  </sheetViews>
  <sheetFormatPr defaultColWidth="11" defaultRowHeight="16.5"/>
  <cols>
    <col min="1" max="1" width="6.5" customWidth="1"/>
    <col min="2" max="2" width="31.5" customWidth="1"/>
    <col min="3" max="3" width="49.25" customWidth="1"/>
    <col min="4" max="4" width="39.875" customWidth="1"/>
    <col min="5" max="5" width="31" customWidth="1"/>
  </cols>
  <sheetData>
    <row r="1" spans="2:5">
      <c r="B1" s="119" t="s">
        <v>0</v>
      </c>
      <c r="C1" s="119" t="s">
        <v>406</v>
      </c>
      <c r="D1" s="119" t="s">
        <v>5</v>
      </c>
      <c r="E1" s="119" t="s">
        <v>407</v>
      </c>
    </row>
    <row r="2" spans="2:5">
      <c r="B2" t="s">
        <v>408</v>
      </c>
      <c r="C2" t="s">
        <v>409</v>
      </c>
      <c r="D2" t="s">
        <v>410</v>
      </c>
      <c r="E2" t="s">
        <v>411</v>
      </c>
    </row>
    <row r="3" spans="2:5">
      <c r="B3" t="s">
        <v>408</v>
      </c>
      <c r="C3" t="s">
        <v>412</v>
      </c>
      <c r="D3" t="s">
        <v>410</v>
      </c>
      <c r="E3" t="s">
        <v>413</v>
      </c>
    </row>
    <row r="4" spans="2:5">
      <c r="B4" t="s">
        <v>408</v>
      </c>
      <c r="C4" t="s">
        <v>414</v>
      </c>
      <c r="D4" t="s">
        <v>410</v>
      </c>
      <c r="E4" t="s">
        <v>411</v>
      </c>
    </row>
    <row r="5" spans="2:5">
      <c r="B5" t="s">
        <v>408</v>
      </c>
      <c r="C5" t="s">
        <v>415</v>
      </c>
      <c r="D5" t="s">
        <v>410</v>
      </c>
      <c r="E5" t="s">
        <v>411</v>
      </c>
    </row>
    <row r="6" spans="2:5" ht="18.75" customHeight="1">
      <c r="B6" t="s">
        <v>408</v>
      </c>
      <c r="C6" t="s">
        <v>416</v>
      </c>
      <c r="D6" t="s">
        <v>410</v>
      </c>
      <c r="E6" t="s">
        <v>411</v>
      </c>
    </row>
    <row r="7" spans="2:5">
      <c r="B7" t="s">
        <v>23</v>
      </c>
      <c r="C7" t="s">
        <v>417</v>
      </c>
      <c r="D7" t="s">
        <v>418</v>
      </c>
      <c r="E7" t="s">
        <v>413</v>
      </c>
    </row>
    <row r="8" spans="2:5">
      <c r="B8" t="s">
        <v>419</v>
      </c>
      <c r="C8" t="s">
        <v>420</v>
      </c>
      <c r="D8" t="s">
        <v>421</v>
      </c>
      <c r="E8" t="s">
        <v>422</v>
      </c>
    </row>
    <row r="9" spans="2:5">
      <c r="B9" t="s">
        <v>419</v>
      </c>
      <c r="C9" t="s">
        <v>423</v>
      </c>
      <c r="D9" t="s">
        <v>424</v>
      </c>
      <c r="E9" t="s">
        <v>422</v>
      </c>
    </row>
    <row r="10" spans="2:5">
      <c r="B10" t="s">
        <v>419</v>
      </c>
      <c r="C10" t="s">
        <v>425</v>
      </c>
      <c r="D10" t="s">
        <v>426</v>
      </c>
      <c r="E10" t="s">
        <v>422</v>
      </c>
    </row>
    <row r="11" spans="2:5">
      <c r="B11" t="s">
        <v>427</v>
      </c>
      <c r="C11" t="s">
        <v>428</v>
      </c>
      <c r="D11" t="s">
        <v>410</v>
      </c>
    </row>
    <row r="12" spans="2:5">
      <c r="B12" t="s">
        <v>427</v>
      </c>
      <c r="C12" t="s">
        <v>429</v>
      </c>
      <c r="D12" t="s">
        <v>410</v>
      </c>
    </row>
    <row r="13" spans="2:5">
      <c r="B13" t="s">
        <v>430</v>
      </c>
      <c r="C13" t="s">
        <v>431</v>
      </c>
      <c r="D13" t="s">
        <v>410</v>
      </c>
      <c r="E13" t="s">
        <v>432</v>
      </c>
    </row>
    <row r="14" spans="2:5">
      <c r="B14" t="s">
        <v>430</v>
      </c>
      <c r="C14" t="s">
        <v>433</v>
      </c>
      <c r="D14" t="s">
        <v>410</v>
      </c>
      <c r="E14" t="s">
        <v>432</v>
      </c>
    </row>
    <row r="15" spans="2:5">
      <c r="B15" t="s">
        <v>59</v>
      </c>
      <c r="C15" t="s">
        <v>434</v>
      </c>
      <c r="D15" t="s">
        <v>435</v>
      </c>
      <c r="E15" t="s">
        <v>436</v>
      </c>
    </row>
    <row r="16" spans="2:5">
      <c r="B16" t="s">
        <v>59</v>
      </c>
      <c r="C16" t="s">
        <v>437</v>
      </c>
      <c r="D16" t="s">
        <v>438</v>
      </c>
      <c r="E16" t="s">
        <v>436</v>
      </c>
    </row>
    <row r="17" spans="2:5">
      <c r="B17" t="s">
        <v>439</v>
      </c>
      <c r="C17" t="s">
        <v>440</v>
      </c>
      <c r="D17" t="s">
        <v>441</v>
      </c>
      <c r="E17" t="s">
        <v>442</v>
      </c>
    </row>
    <row r="18" spans="2:5">
      <c r="B18" t="s">
        <v>439</v>
      </c>
      <c r="C18" t="s">
        <v>431</v>
      </c>
      <c r="D18" t="s">
        <v>410</v>
      </c>
      <c r="E18" t="s">
        <v>442</v>
      </c>
    </row>
    <row r="19" spans="2:5">
      <c r="B19" t="s">
        <v>439</v>
      </c>
      <c r="C19" t="s">
        <v>443</v>
      </c>
      <c r="D19" t="s">
        <v>410</v>
      </c>
      <c r="E19" t="s">
        <v>442</v>
      </c>
    </row>
    <row r="20" spans="2:5">
      <c r="B20" t="s">
        <v>439</v>
      </c>
      <c r="C20" t="s">
        <v>444</v>
      </c>
      <c r="D20" t="s">
        <v>410</v>
      </c>
      <c r="E20" t="s">
        <v>442</v>
      </c>
    </row>
    <row r="21" spans="2:5">
      <c r="B21" t="s">
        <v>439</v>
      </c>
      <c r="C21" t="s">
        <v>445</v>
      </c>
      <c r="D21" t="s">
        <v>410</v>
      </c>
      <c r="E21" t="s">
        <v>442</v>
      </c>
    </row>
    <row r="22" spans="2:5">
      <c r="B22" t="s">
        <v>439</v>
      </c>
      <c r="C22" t="s">
        <v>433</v>
      </c>
      <c r="D22" t="s">
        <v>446</v>
      </c>
      <c r="E22" t="s">
        <v>442</v>
      </c>
    </row>
    <row r="23" spans="2:5">
      <c r="B23" t="s">
        <v>19</v>
      </c>
      <c r="C23" t="s">
        <v>447</v>
      </c>
      <c r="D23" t="s">
        <v>410</v>
      </c>
      <c r="E23" t="s">
        <v>448</v>
      </c>
    </row>
    <row r="24" spans="2:5">
      <c r="B24" t="s">
        <v>19</v>
      </c>
      <c r="C24" t="s">
        <v>449</v>
      </c>
      <c r="D24" t="s">
        <v>410</v>
      </c>
      <c r="E24" t="s">
        <v>448</v>
      </c>
    </row>
    <row r="25" spans="2:5">
      <c r="B25" t="s">
        <v>19</v>
      </c>
      <c r="C25" t="s">
        <v>450</v>
      </c>
      <c r="D25" t="s">
        <v>410</v>
      </c>
      <c r="E25" t="s">
        <v>448</v>
      </c>
    </row>
    <row r="26" spans="2:5">
      <c r="B26" t="s">
        <v>19</v>
      </c>
      <c r="C26" t="s">
        <v>451</v>
      </c>
      <c r="D26" t="s">
        <v>410</v>
      </c>
      <c r="E26" t="s">
        <v>448</v>
      </c>
    </row>
    <row r="27" spans="2:5">
      <c r="B27" t="s">
        <v>19</v>
      </c>
      <c r="C27" t="s">
        <v>452</v>
      </c>
      <c r="D27" t="s">
        <v>453</v>
      </c>
      <c r="E27" t="s">
        <v>448</v>
      </c>
    </row>
    <row r="28" spans="2:5">
      <c r="B28" t="s">
        <v>19</v>
      </c>
      <c r="C28" t="s">
        <v>454</v>
      </c>
      <c r="D28" t="s">
        <v>410</v>
      </c>
      <c r="E28" t="s">
        <v>448</v>
      </c>
    </row>
    <row r="29" spans="2:5">
      <c r="B29" t="s">
        <v>19</v>
      </c>
      <c r="C29" t="s">
        <v>444</v>
      </c>
      <c r="D29" t="s">
        <v>410</v>
      </c>
      <c r="E29" t="s">
        <v>448</v>
      </c>
    </row>
    <row r="30" spans="2:5">
      <c r="B30" t="s">
        <v>19</v>
      </c>
      <c r="C30" t="s">
        <v>455</v>
      </c>
      <c r="D30" t="s">
        <v>410</v>
      </c>
      <c r="E30" t="s">
        <v>448</v>
      </c>
    </row>
    <row r="31" spans="2:5">
      <c r="B31" t="s">
        <v>19</v>
      </c>
      <c r="C31" t="s">
        <v>433</v>
      </c>
      <c r="D31" t="s">
        <v>410</v>
      </c>
      <c r="E31" t="s">
        <v>448</v>
      </c>
    </row>
    <row r="32" spans="2:5">
      <c r="B32" t="s">
        <v>19</v>
      </c>
      <c r="C32" t="s">
        <v>456</v>
      </c>
      <c r="D32" t="s">
        <v>457</v>
      </c>
      <c r="E32" t="s">
        <v>448</v>
      </c>
    </row>
    <row r="33" spans="2:5">
      <c r="B33" t="s">
        <v>458</v>
      </c>
      <c r="C33" t="s">
        <v>433</v>
      </c>
      <c r="D33" t="s">
        <v>410</v>
      </c>
      <c r="E33" t="s">
        <v>459</v>
      </c>
    </row>
    <row r="34" spans="2:5">
      <c r="B34" t="s">
        <v>458</v>
      </c>
      <c r="C34" t="s">
        <v>460</v>
      </c>
      <c r="D34" t="s">
        <v>461</v>
      </c>
      <c r="E34" t="s">
        <v>459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92F07-34CA-4F10-9FCC-6DB6CBCBC2BE}">
  <sheetPr codeName="Hoja10">
    <pageSetUpPr fitToPage="1"/>
  </sheetPr>
  <dimension ref="A2:G11"/>
  <sheetViews>
    <sheetView showGridLines="0" workbookViewId="0">
      <selection activeCell="A2" sqref="A2:E6"/>
    </sheetView>
  </sheetViews>
  <sheetFormatPr defaultColWidth="11" defaultRowHeight="16.5"/>
  <cols>
    <col min="2" max="2" width="12.25" bestFit="1" customWidth="1"/>
    <col min="3" max="3" width="18.5" style="123" bestFit="1" customWidth="1"/>
    <col min="4" max="4" width="52.375" customWidth="1"/>
    <col min="5" max="5" width="16.875" customWidth="1"/>
  </cols>
  <sheetData>
    <row r="2" spans="1:7" ht="18.75">
      <c r="A2" s="120" t="s">
        <v>462</v>
      </c>
      <c r="B2" s="134" t="s">
        <v>463</v>
      </c>
    </row>
    <row r="3" spans="1:7" ht="20.25" customHeight="1">
      <c r="B3" s="126" t="s">
        <v>123</v>
      </c>
      <c r="C3" s="127" t="s">
        <v>464</v>
      </c>
      <c r="D3" s="126" t="s">
        <v>125</v>
      </c>
      <c r="E3" s="126" t="s">
        <v>465</v>
      </c>
    </row>
    <row r="4" spans="1:7" ht="72.75" customHeight="1">
      <c r="B4" s="131" t="str" cm="1">
        <f t="array" ref="B4:G9">_xlfn._xlws.FILTER(ACCIONES[[FOLIO]:[REPLANTEO '#2 "Formato de replanteo"]],(ACCIONES[DIRECCIÓN O GERENCIA]=$B$2)*(ACCIONES[ESTATUS]="ABIERTA"))</f>
        <v>AC#17\2025</v>
      </c>
      <c r="C4" s="132">
        <v>45868</v>
      </c>
      <c r="D4" s="133" t="str">
        <v>No se cumplió con el indicador de eficiencia física</v>
      </c>
      <c r="E4" s="132">
        <v>46171</v>
      </c>
      <c r="F4" s="125">
        <v>0</v>
      </c>
      <c r="G4" s="125">
        <v>0</v>
      </c>
    </row>
    <row r="5" spans="1:7" ht="72.75" customHeight="1">
      <c r="B5" s="128" t="str">
        <v>AC#20\2025</v>
      </c>
      <c r="C5" s="129">
        <v>45828</v>
      </c>
      <c r="D5" s="130" t="str">
        <v>No se encontró evidencia de los equipos de medición de lecturas de parámetros, ya que no se encuentran calibrados desde el 2024, y actualmente utilizan equipos propios del personal, mismos que no están calibrados ni registrados. Por lo tanto, los registros actualmente se están llenando con datos resultantes de formulas calculadas por los mismos empleados, arrojando información aparente y no la situación real del equipo de revisión.
Esto se ha venido presentando por situaciones ajenas al departamento,</v>
      </c>
      <c r="E5" s="129">
        <v>45884</v>
      </c>
      <c r="F5" s="125">
        <v>46020</v>
      </c>
      <c r="G5" s="125">
        <v>46203</v>
      </c>
    </row>
    <row r="6" spans="1:7" ht="72.75" customHeight="1">
      <c r="B6" s="128" t="str">
        <v>AC#21\2025</v>
      </c>
      <c r="C6" s="129">
        <v>45828</v>
      </c>
      <c r="D6" s="130" t="str">
        <v>No es totalmente eficaz el manejo del catalogo de equipos de plantas OOMRPP-27, ya que no se encuentra actualizada la fecha de adquisición de los equipos.
Por otro lado, se identifico que el programa anual de mantenimiento preventivo OOMRPP-28, no coincide con el periodo de mantenimiento señalado en el catalogo de equipos de plantas OOMRPP-27, ya que difiere del tiempo indicado en uno y otro.</v>
      </c>
      <c r="E6" s="129">
        <v>45884</v>
      </c>
      <c r="F6" s="125">
        <v>46020</v>
      </c>
      <c r="G6" s="125">
        <v>46203</v>
      </c>
    </row>
    <row r="7" spans="1:7">
      <c r="B7" t="str">
        <v>AC#6\2026</v>
      </c>
      <c r="C7" s="123">
        <v>46063</v>
      </c>
      <c r="D7" s="124" t="str">
        <v>Programa de mantemiento</v>
      </c>
      <c r="E7">
        <v>46387</v>
      </c>
      <c r="F7">
        <v>0</v>
      </c>
      <c r="G7">
        <v>0</v>
      </c>
    </row>
    <row r="8" spans="1:7" ht="165">
      <c r="B8" t="str">
        <v>AC#7\2026</v>
      </c>
      <c r="C8" s="123">
        <v>46101</v>
      </c>
      <c r="D8" s="124" t="str">
        <v xml:space="preserve">Se identifico que el control de los camnios en los requisitos aplicables al parameto de turbiedad no es totalmente eficaz, ya que existe inconsistencia entre la información documentada en el procedimiento OOMPPP-05, donde se establece  un limite de 4 NTU en el parámetro de turbiedad y la NOM-127-SSA1, indica en el punto 5. Especificaciones sanitarias, que el límite permisible para turbiedad sera de 3.0 NTU a partir del segundo año posterior a la entrada en vigor de la presente Norma. (entro en vigor el 27 de abril 2023.)                                                                                                     </v>
      </c>
      <c r="E8">
        <v>46155</v>
      </c>
      <c r="F8">
        <v>0</v>
      </c>
      <c r="G8">
        <v>0</v>
      </c>
    </row>
    <row r="9" spans="1:7" ht="66">
      <c r="B9" t="str">
        <v>AC#8\2026</v>
      </c>
      <c r="C9" s="123">
        <v>46101</v>
      </c>
      <c r="D9" s="124" t="str">
        <v xml:space="preserve">No es totalmente eficaz el control de proceso no conforme ya que en el procedimiento OOMPPP-05, el punto 10 no se da cumplimiento a lo establecido con el estandar de turbiedad.                                                                                                          </v>
      </c>
      <c r="E9">
        <v>46155</v>
      </c>
      <c r="F9">
        <v>0</v>
      </c>
      <c r="G9">
        <v>0</v>
      </c>
    </row>
    <row r="10" spans="1:7">
      <c r="D10" s="124"/>
    </row>
    <row r="11" spans="1:7">
      <c r="D11" s="124"/>
    </row>
  </sheetData>
  <pageMargins left="0.7" right="0.7" top="0.75" bottom="0.75" header="0.3" footer="0.3"/>
  <pageSetup scale="8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3A1B-E3EF-4930-9FEF-ECDD8F40EF1A}">
  <sheetPr>
    <pageSetUpPr fitToPage="1"/>
  </sheetPr>
  <dimension ref="B3:J8"/>
  <sheetViews>
    <sheetView workbookViewId="0">
      <selection activeCell="D5" sqref="D5"/>
    </sheetView>
  </sheetViews>
  <sheetFormatPr defaultColWidth="11" defaultRowHeight="16.5"/>
  <cols>
    <col min="2" max="2" width="13.5" customWidth="1"/>
    <col min="3" max="3" width="8.125" style="172" bestFit="1" customWidth="1"/>
    <col min="4" max="4" width="71.875" customWidth="1"/>
    <col min="5" max="7" width="8.125" style="172" bestFit="1" customWidth="1"/>
    <col min="8" max="8" width="16.125" customWidth="1"/>
  </cols>
  <sheetData>
    <row r="3" spans="2:10" ht="33">
      <c r="B3" s="173" t="s">
        <v>466</v>
      </c>
      <c r="C3" s="174">
        <v>45868</v>
      </c>
      <c r="D3" s="173" t="s">
        <v>352</v>
      </c>
      <c r="E3" s="174">
        <v>46171</v>
      </c>
      <c r="F3" s="174"/>
      <c r="G3" s="174"/>
      <c r="H3" s="173" t="s">
        <v>19</v>
      </c>
      <c r="I3" s="173" t="s">
        <v>339</v>
      </c>
      <c r="J3" s="173" t="s">
        <v>299</v>
      </c>
    </row>
    <row r="4" spans="2:10" ht="132">
      <c r="B4" s="173" t="s">
        <v>467</v>
      </c>
      <c r="C4" s="174">
        <v>45828</v>
      </c>
      <c r="D4" s="173" t="s">
        <v>355</v>
      </c>
      <c r="E4" s="174">
        <v>45884</v>
      </c>
      <c r="F4" s="174">
        <v>46020</v>
      </c>
      <c r="G4" s="174">
        <v>46111</v>
      </c>
      <c r="H4" s="173" t="s">
        <v>19</v>
      </c>
      <c r="I4" s="173" t="s">
        <v>339</v>
      </c>
      <c r="J4" s="173" t="s">
        <v>349</v>
      </c>
    </row>
    <row r="5" spans="2:10" ht="115.5">
      <c r="B5" s="173" t="s">
        <v>468</v>
      </c>
      <c r="C5" s="174">
        <v>45828</v>
      </c>
      <c r="D5" s="173" t="s">
        <v>356</v>
      </c>
      <c r="E5" s="174">
        <v>45884</v>
      </c>
      <c r="F5" s="174">
        <v>46020</v>
      </c>
      <c r="G5" s="174">
        <v>46111</v>
      </c>
      <c r="H5" s="173" t="s">
        <v>19</v>
      </c>
      <c r="I5" s="173" t="s">
        <v>339</v>
      </c>
      <c r="J5" s="173" t="s">
        <v>349</v>
      </c>
    </row>
    <row r="6" spans="2:10" ht="33">
      <c r="B6" s="173" t="s">
        <v>469</v>
      </c>
      <c r="C6" s="174">
        <v>46063</v>
      </c>
      <c r="D6" s="173" t="s">
        <v>470</v>
      </c>
      <c r="E6" s="174">
        <v>46387</v>
      </c>
      <c r="F6" s="174"/>
      <c r="G6" s="174"/>
      <c r="H6" s="173" t="s">
        <v>19</v>
      </c>
      <c r="I6" s="173" t="s">
        <v>339</v>
      </c>
      <c r="J6" s="173" t="s">
        <v>299</v>
      </c>
    </row>
    <row r="7" spans="2:10" ht="132">
      <c r="B7" s="173" t="s">
        <v>471</v>
      </c>
      <c r="C7" s="174">
        <v>46101</v>
      </c>
      <c r="D7" s="173" t="s">
        <v>400</v>
      </c>
      <c r="E7" s="174">
        <v>46155</v>
      </c>
      <c r="F7" s="174"/>
      <c r="G7" s="174"/>
      <c r="H7" s="173" t="s">
        <v>19</v>
      </c>
      <c r="I7" s="173" t="s">
        <v>339</v>
      </c>
      <c r="J7" s="173" t="s">
        <v>349</v>
      </c>
    </row>
    <row r="8" spans="2:10" ht="49.5">
      <c r="B8" s="173" t="s">
        <v>472</v>
      </c>
      <c r="C8" s="174">
        <v>46101</v>
      </c>
      <c r="D8" s="173" t="s">
        <v>401</v>
      </c>
      <c r="E8" s="174">
        <v>46155</v>
      </c>
      <c r="F8" s="174"/>
      <c r="G8" s="174"/>
      <c r="H8" s="173" t="s">
        <v>19</v>
      </c>
      <c r="I8" s="173" t="s">
        <v>339</v>
      </c>
      <c r="J8" s="173" t="s">
        <v>349</v>
      </c>
    </row>
  </sheetData>
  <pageMargins left="0.7" right="0.7"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Héctor Manuel Páez León</dc:creator>
  <cp:keywords/>
  <dc:description/>
  <cp:lastModifiedBy>Gladys Tatiana Escobar Meraz</cp:lastModifiedBy>
  <cp:revision/>
  <dcterms:created xsi:type="dcterms:W3CDTF">2025-01-14T21:14:03Z</dcterms:created>
  <dcterms:modified xsi:type="dcterms:W3CDTF">2026-04-21T21:31:04Z</dcterms:modified>
  <cp:category/>
  <cp:contentStatus/>
</cp:coreProperties>
</file>