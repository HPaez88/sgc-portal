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30d8857ba2bb3e5/Favorites/Escritorio/SGC page/formatos/"/>
    </mc:Choice>
  </mc:AlternateContent>
  <xr:revisionPtr revIDLastSave="669" documentId="13_ncr:1_{1877D68E-CB7A-4F1D-8F89-D51F701C19B0}" xr6:coauthVersionLast="47" xr6:coauthVersionMax="47" xr10:uidLastSave="{07AA3AC0-BC8D-4FBF-ACD9-D68270802EE7}"/>
  <bookViews>
    <workbookView xWindow="-108" yWindow="-108" windowWidth="30936" windowHeight="18696" activeTab="3" xr2:uid="{44245106-0ABE-432B-B4A0-DD35C5A80BFA}"/>
  </bookViews>
  <sheets>
    <sheet name="REGISTRO" sheetId="4" r:id="rId1"/>
    <sheet name="ACTIVIDADES" sheetId="8" r:id="rId2"/>
    <sheet name="Descripción Categorías Mejoras" sheetId="7" r:id="rId3"/>
    <sheet name="DATOS " sheetId="3" r:id="rId4"/>
    <sheet name="AUDITOR" sheetId="6" state="veryHidden" r:id="rId5"/>
  </sheets>
  <externalReferences>
    <externalReference r:id="rId6"/>
  </externalReferences>
  <definedNames>
    <definedName name="_xlcn.WorksheetConnection_PlandemejoraRev.11.xlsxACTIVIDADES" hidden="1">ACTIVIDADES</definedName>
    <definedName name="_xlnm.Print_Area" localSheetId="1">ACTIVIDADES!$A$1:$H$27</definedName>
    <definedName name="_xlnm.Print_Area" localSheetId="4">AUDITOR!$B$1:$L$22</definedName>
    <definedName name="_xlnm.Print_Area" localSheetId="0">REGISTRO!$A$1:$X$28</definedName>
    <definedName name="Hoy" localSheetId="1">TODAY()</definedName>
    <definedName name="Hoy" localSheetId="4">TODAY()</definedName>
    <definedName name="Lista_Verificación" localSheetId="1">ACTIVIDADES!$M$2</definedName>
    <definedName name="Lista_verificación">#REF!</definedName>
    <definedName name="Procesos">[1]!Tabla3[Procesos]</definedName>
    <definedName name="PROGRESO_FECHAS" localSheetId="1">_xlfn.LAMBDA(_xlpm.Fecha_Inicio,_xlpm.Fecha_término,IFERROR(IF(_xlpm.Fecha_término="","",(IF(TODAY()&gt;=_xlpm.Fecha_término,1,IF(((DATEDIF(_xlpm.Fecha_Inicio,TODAY(),"D"))/DATEDIF(_xlpm.Fecha_Inicio,_xlpm.Fecha_término,"D"))&gt;100,1,((DATEDIF(_xlpm.Fecha_Inicio,TODAY(),"D"))/DATEDIF(_xlpm.Fecha_Inicio,_xlpm.Fecha_término,"D")))))),""))</definedName>
    <definedName name="PROGRESO_FECHAS">_xlfn.LAMBDA(_xlpm.Fecha_Inicio,_xlpm.Fecha_término,IFERROR(IF(_xlpm.Fecha_término="","",(IF(TODAY()&gt;=_xlpm.Fecha_término,1,IF(((DATEDIF(_xlpm.Fecha_Inicio,TODAY(),"D"))/DATEDIF(_xlpm.Fecha_Inicio,_xlpm.Fecha_término,"D"))&gt;100,1,((DATEDIF(_xlpm.Fecha_Inicio,TODAY(),"D"))/DATEDIF(_xlpm.Fecha_Inicio,_xlpm.Fecha_término,"D")))))),""))</definedName>
    <definedName name="_xlnm.Print_Titles" localSheetId="1">ACTIVIDADES!$8:$8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CTIVIDADES" name="ACTIVIDADES" connection="WorksheetConnection_Plan de mejora Rev.11.xlsx!ACTIVIDADE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1" i="8" l="1" a="1"/>
  <c r="C11" i="8" s="1"/>
  <c r="C10" i="8" a="1"/>
  <c r="C10" i="8" s="1"/>
  <c r="C12" i="8" a="1"/>
  <c r="C12" i="8" s="1"/>
  <c r="C13" i="8" a="1"/>
  <c r="C13" i="8" s="1"/>
  <c r="C14" i="8" a="1"/>
  <c r="C14" i="8" s="1"/>
  <c r="C15" i="8" a="1"/>
  <c r="C15" i="8" s="1"/>
  <c r="C16" i="8" a="1"/>
  <c r="C16" i="8" s="1"/>
  <c r="C9" i="8" a="1"/>
  <c r="C9" i="8" s="1"/>
  <c r="H1" i="8"/>
  <c r="H2" i="8"/>
  <c r="H4" i="8"/>
  <c r="B2" i="8" l="1"/>
  <c r="A17" i="8" a="1"/>
  <c r="A17" i="8" s="1"/>
  <c r="H6" i="8"/>
  <c r="G2" i="3" a="1"/>
  <c r="G2" i="3" l="1"/>
  <c r="I2" i="6" l="1"/>
  <c r="B2" i="6" l="1"/>
  <c r="G20" i="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46C3B5-7B4D-4154-8FAD-9C4F7A2FD97B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C09BD42-B470-47EC-919E-86EF192A5078}" name="WorksheetConnection_Plan de mejora Rev.11.xlsx!ACTIVIDADES" type="102" refreshedVersion="8" minRefreshableVersion="5">
    <extLst>
      <ext xmlns:x15="http://schemas.microsoft.com/office/spreadsheetml/2010/11/main" uri="{DE250136-89BD-433C-8126-D09CA5730AF9}">
        <x15:connection id="ACTIVIDADES">
          <x15:rangePr sourceName="_xlcn.WorksheetConnection_PlandemejoraRev.11.xlsxACTIVIDAD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<sst xmlns="http://schemas.openxmlformats.org/spreadsheetml/2006/main" count="105" uniqueCount="104">
  <si>
    <t>Folio:</t>
  </si>
  <si>
    <t>Gerencia /Coordinación:</t>
  </si>
  <si>
    <t>RESPONSABLE:</t>
  </si>
  <si>
    <t>Mantenimiento de Redes</t>
  </si>
  <si>
    <t>Alcantarillado y Saneamiento</t>
  </si>
  <si>
    <t>Comunicación e Imagen Institucional</t>
  </si>
  <si>
    <t>Plantas Potabilizadoras</t>
  </si>
  <si>
    <t>Contabilidad</t>
  </si>
  <si>
    <t>Contratos y Servicios</t>
  </si>
  <si>
    <t>Control de Calidad</t>
  </si>
  <si>
    <t>Sistema de Gestión de Calidad</t>
  </si>
  <si>
    <t>Informática</t>
  </si>
  <si>
    <t>Jurídico</t>
  </si>
  <si>
    <t>Licitaciones</t>
  </si>
  <si>
    <t>Línea OOMAPASC</t>
  </si>
  <si>
    <t>Mantenimiento y Servicios Generales</t>
  </si>
  <si>
    <t>Órgano de Control Interno</t>
  </si>
  <si>
    <t>Padrón de Usuarios</t>
  </si>
  <si>
    <t>Control y Servicios</t>
  </si>
  <si>
    <t>Proyectos e Infraestructura</t>
  </si>
  <si>
    <t>Recursos Materiales</t>
  </si>
  <si>
    <t>Recursos Humanos</t>
  </si>
  <si>
    <t>Seguridad Industrial</t>
  </si>
  <si>
    <t>Agencia Pueblo Yaqui</t>
  </si>
  <si>
    <t>Agencia Esperanza</t>
  </si>
  <si>
    <t>Agencia Marte R. Gómez</t>
  </si>
  <si>
    <t>Agencia Providencia</t>
  </si>
  <si>
    <t>Suburbano Técnico</t>
  </si>
  <si>
    <t>Supervisión y control de obras</t>
  </si>
  <si>
    <t>Trabajo Social</t>
  </si>
  <si>
    <t>Trámites Técnicos</t>
  </si>
  <si>
    <t>Verificación Y Lectura</t>
  </si>
  <si>
    <t>Atención Ciudadana</t>
  </si>
  <si>
    <t>Área</t>
  </si>
  <si>
    <t>Sectorización hidrométrica e innovación</t>
  </si>
  <si>
    <t>SISTEMA DE GESTIÓN 
DE CALIDAD</t>
  </si>
  <si>
    <t>ACTIVIDADES</t>
  </si>
  <si>
    <t>Responsable de la actividad</t>
  </si>
  <si>
    <t>Indicador de progreso</t>
  </si>
  <si>
    <t>FOLIO:</t>
  </si>
  <si>
    <t>Título de la mejora:</t>
  </si>
  <si>
    <t>Fecha de término</t>
  </si>
  <si>
    <t>Señala la evidencia objetiva revisada:</t>
  </si>
  <si>
    <t>Conclusión del porqué es efectiva:</t>
  </si>
  <si>
    <t>Fecha de cierre</t>
  </si>
  <si>
    <t>Auditor que cierra</t>
  </si>
  <si>
    <t>Responsable de la mejora</t>
  </si>
  <si>
    <t>DIRECTOR DEL ÁREA</t>
  </si>
  <si>
    <t>AUDITOR ASIGNADO A CIERRE</t>
  </si>
  <si>
    <t>✔️</t>
  </si>
  <si>
    <t>INTEGRANTES:</t>
  </si>
  <si>
    <t>Evaluación de la eficacia de las acciones tomadas</t>
  </si>
  <si>
    <t>1er. Replanteo</t>
  </si>
  <si>
    <t>2do. Replanteo</t>
  </si>
  <si>
    <t>Cultura del agua</t>
  </si>
  <si>
    <t>Programas Sociales</t>
  </si>
  <si>
    <t>DATOS GENERALES</t>
  </si>
  <si>
    <t>Fecha de elaboración:</t>
  </si>
  <si>
    <t>Categoría de Mejora:</t>
  </si>
  <si>
    <t>Periodo de mejora:</t>
  </si>
  <si>
    <t>periodos</t>
  </si>
  <si>
    <t>Categorias mejoras</t>
  </si>
  <si>
    <t>Origen:</t>
  </si>
  <si>
    <t>ORIGEN</t>
  </si>
  <si>
    <t>Objetivo de Calidad</t>
  </si>
  <si>
    <t>Auditoría interna</t>
  </si>
  <si>
    <t>DESCRIPCIÓN DE LA SITUACIÓN ACTUAL</t>
  </si>
  <si>
    <t>Dir. General</t>
  </si>
  <si>
    <t>Dir. Técnica</t>
  </si>
  <si>
    <t>Dir. Jurídica</t>
  </si>
  <si>
    <t>Dir. Órgano de Control Interno</t>
  </si>
  <si>
    <t>Dir. Comercial</t>
  </si>
  <si>
    <t>Dir. Administrativa</t>
  </si>
  <si>
    <t>Dir. Programas Sociales y Cultura del Agua</t>
  </si>
  <si>
    <t>SITUACIÓN DESEADA</t>
  </si>
  <si>
    <t>BENEFICIOS</t>
  </si>
  <si>
    <t>EQUIPO DE MEJORA</t>
  </si>
  <si>
    <t>FIRMAS DE APROBACIÓN</t>
  </si>
  <si>
    <t>Fecha de de cierre:</t>
  </si>
  <si>
    <t>1er. Replanteo:</t>
  </si>
  <si>
    <t>2do. Replanteo:</t>
  </si>
  <si>
    <t>Evidencia</t>
  </si>
  <si>
    <t>Resultado Verificado (Auditor)</t>
  </si>
  <si>
    <t>TÍTULO MEJORA:</t>
  </si>
  <si>
    <t>Fortalecimiento de la Gestión Interna y Mejora Continua</t>
  </si>
  <si>
    <t>Desarrollo y Profesionalización del Recurso Humano</t>
  </si>
  <si>
    <t>Innovación Tecnológica y Modernización Institucional</t>
  </si>
  <si>
    <t>Mejora de los Servicios y Atención al Usuario</t>
  </si>
  <si>
    <t>Seguridad Operativa y Sostenibilidad Ambiental</t>
  </si>
  <si>
    <t>1er. Cuatri</t>
  </si>
  <si>
    <t>2do. Cuatri</t>
  </si>
  <si>
    <t>3er. Cuatri</t>
  </si>
  <si>
    <t>1. Fortalecimiento de la Gestión Interna y Mejora Continua</t>
  </si>
  <si>
    <t>Incluye acciones orientadas a optimizar los procesos institucionales, estandarizar procedimientos, fortalecer el control documental, mejorar la trazabilidad de la información y asegurar el cumplimiento de normas internas. Su objetivo es elevar la eficiencia, orden y calidad del trabajo realizado en todas las áreas.</t>
  </si>
  <si>
    <t>2. Desarrollo y Profesionalización del Recurso Humano</t>
  </si>
  <si>
    <t>Abarca actividades encaminadas a fortalecer las capacidades del personal mediante capacitación, actualización, evaluación del desempeño, comunicación interna y acciones que impulsen un ambiente laboral positivo. Se busca mejorar el rendimiento y promover el crecimiento profesional de cada integrante del organismo.</t>
  </si>
  <si>
    <t>3. Innovación Tecnológica y Modernización Institucional</t>
  </si>
  <si>
    <t>Se refiere a la implementación de nuevas herramientas tecnológicas, digitalización de procesos, automatización, modernización de sistemas y reducción de tareas manuales. Esta categoría impulsa la eficiencia a través del uso estratégico de tecnología.</t>
  </si>
  <si>
    <t>4. Mejora de los Servicios y Atención al Usuario</t>
  </si>
  <si>
    <t>Cubre todas las acciones orientadas a elevar la calidad del servicio ofrecido al ciudadano, incluyendo tiempos de respuesta, trato respetuoso, claridad de la información, gestión eficiente de solicitudes y mejora de la experiencia general del usuario.</t>
  </si>
  <si>
    <t>5. Seguridad Operativa y Sostenibilidad Ambiental</t>
  </si>
  <si>
    <t>Comprende actividades enfocadas en garantizar condiciones seguras de trabajo, fomentar el uso adecuado del equipo de protección personal, promover prácticas preventivas y asegurar el cumplimiento de estándares ambientales, contribuyendo a la sostenibilidad y reducción de riesgos operativos.</t>
  </si>
  <si>
    <t>Descripción de categorías Generales de Mejora</t>
  </si>
  <si>
    <t>PLAN DE MEJORA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</si>
</sst>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_ ;\-#,##0\ "/>
  </numFmts>
  <fonts count="4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b/>
      <sz val="22"/>
      <color theme="8" tint="-0.499984740745262"/>
      <name val="Calibri Light"/>
      <family val="2"/>
      <scheme val="major"/>
    </font>
    <font>
      <b/>
      <sz val="20"/>
      <name val="Calibri Light"/>
      <family val="2"/>
      <scheme val="maj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sz val="16"/>
      <color theme="8" tint="-0.499984740745262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2"/>
      <color theme="1" tint="0.14999847407452621"/>
      <name val="Calibri"/>
      <family val="2"/>
    </font>
    <font>
      <b/>
      <sz val="20"/>
      <name val="Calibri"/>
      <family val="2"/>
      <scheme val="minor"/>
    </font>
    <font>
      <b/>
      <sz val="22"/>
      <color theme="8" tint="-0.499984740745262"/>
      <name val="Calibri"/>
      <family val="2"/>
      <scheme val="minor"/>
    </font>
    <font>
      <b/>
      <sz val="24"/>
      <color theme="1" tint="0.14999847407452621"/>
      <name val="Calibri"/>
      <family val="2"/>
      <scheme val="minor"/>
    </font>
    <font>
      <b/>
      <sz val="20"/>
      <color theme="1" tint="0.14999847407452621"/>
      <name val="Calibri"/>
      <family val="2"/>
      <scheme val="minor"/>
    </font>
    <font>
      <b/>
      <sz val="22"/>
      <name val="Calibri"/>
      <family val="2"/>
      <scheme val="minor"/>
    </font>
    <font>
      <sz val="20"/>
      <color theme="1" tint="0.14999847407452621"/>
      <name val="Calibri"/>
      <family val="2"/>
      <scheme val="minor"/>
    </font>
    <font>
      <b/>
      <sz val="20"/>
      <color theme="1" tint="0.14999847407452621"/>
      <name val="Calibri"/>
      <family val="2"/>
    </font>
    <font>
      <b/>
      <sz val="1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theme="1"/>
      <name val="Segoe UI"/>
      <family val="2"/>
    </font>
    <font>
      <i/>
      <sz val="8"/>
      <color theme="1"/>
      <name val="Segoe UI"/>
      <family val="2"/>
    </font>
    <font>
      <sz val="9"/>
      <color theme="1"/>
      <name val="Segoe UI"/>
      <family val="2"/>
    </font>
    <font>
      <b/>
      <sz val="9"/>
      <color theme="0"/>
      <name val="Segoe UI"/>
      <family val="2"/>
    </font>
    <font>
      <b/>
      <sz val="9"/>
      <name val="Segoe UI"/>
      <family val="2"/>
    </font>
    <font>
      <sz val="9"/>
      <name val="Segoe UI"/>
      <family val="2"/>
    </font>
    <font>
      <sz val="10"/>
      <color theme="1"/>
      <name val="Segoe UI"/>
      <family val="2"/>
    </font>
    <font>
      <sz val="11"/>
      <color theme="1"/>
      <name val="Segoe UI"/>
      <family val="2"/>
    </font>
    <font>
      <b/>
      <u/>
      <sz val="9"/>
      <color theme="1"/>
      <name val="Segoe UI"/>
      <family val="2"/>
    </font>
    <font>
      <sz val="8"/>
      <color theme="1"/>
      <name val="Segoe UI"/>
      <family val="2"/>
    </font>
    <font>
      <sz val="10"/>
      <color theme="8" tint="-0.499984740745262"/>
      <name val="Segoe UI"/>
      <family val="2"/>
    </font>
    <font>
      <sz val="10"/>
      <color theme="0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i/>
      <sz val="10"/>
      <color theme="8" tint="-0.499984740745262"/>
      <name val="Segoe UI"/>
      <family val="2"/>
    </font>
    <font>
      <b/>
      <sz val="9"/>
      <color theme="1" tint="0.14999847407452621"/>
      <name val="Segoe UI"/>
      <family val="2"/>
    </font>
    <font>
      <b/>
      <sz val="10"/>
      <color theme="0"/>
      <name val="Segoe UI"/>
      <family val="2"/>
    </font>
    <font>
      <sz val="1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1"/>
      <name val="Segoe UI"/>
      <family val="2"/>
    </font>
    <font>
      <b/>
      <u/>
      <sz val="16"/>
      <name val="Segoe UI"/>
      <family val="2"/>
    </font>
    <font>
      <sz val="16"/>
      <color theme="1"/>
      <name val="Segoe UI"/>
      <family val="2"/>
    </font>
    <font>
      <b/>
      <sz val="18"/>
      <color theme="1"/>
      <name val="Segoe UI"/>
      <family val="2"/>
    </font>
    <font>
      <i/>
      <sz val="9"/>
      <color theme="1" tint="0.14999847407452621"/>
      <name val="Segoe UI"/>
      <family val="2"/>
    </font>
    <font>
      <b/>
      <sz val="11"/>
      <color theme="0"/>
      <name val="Segoe UI"/>
      <family val="2"/>
    </font>
    <font>
      <sz val="12"/>
      <color theme="0"/>
      <name val="Segoe UI"/>
      <family val="2"/>
    </font>
    <font>
      <b/>
      <sz val="16"/>
      <color theme="1" tint="0.14999847407452621"/>
      <name val="Segoe UI"/>
      <family val="2"/>
    </font>
    <font>
      <b/>
      <sz val="10"/>
      <color theme="1" tint="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4A8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8"/>
      </top>
      <bottom style="medium">
        <color theme="8"/>
      </bottom>
      <diagonal/>
    </border>
    <border>
      <left/>
      <right style="thin">
        <color theme="8" tint="0.79998168889431442"/>
      </right>
      <top style="medium">
        <color theme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theme="4" tint="0.39997558519241921"/>
      </left>
      <right/>
      <top style="hair">
        <color theme="4" tint="0.39997558519241921"/>
      </top>
      <bottom style="hair">
        <color theme="4" tint="0.39997558519241921"/>
      </bottom>
      <diagonal/>
    </border>
    <border>
      <left/>
      <right/>
      <top style="hair">
        <color theme="4" tint="0.39997558519241921"/>
      </top>
      <bottom style="hair">
        <color theme="4" tint="0.39997558519241921"/>
      </bottom>
      <diagonal/>
    </border>
    <border>
      <left/>
      <right style="hair">
        <color theme="4" tint="0.39997558519241921"/>
      </right>
      <top style="hair">
        <color theme="4" tint="0.39997558519241921"/>
      </top>
      <bottom style="hair">
        <color theme="4" tint="0.39997558519241921"/>
      </bottom>
      <diagonal/>
    </border>
    <border>
      <left/>
      <right/>
      <top/>
      <bottom style="thin">
        <color rgb="FF0070C0"/>
      </bottom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rgb="FF0070C0"/>
      </top>
      <bottom style="thin">
        <color rgb="FF0070C0"/>
      </bottom>
      <diagonal/>
    </border>
    <border>
      <left style="hair">
        <color theme="4" tint="0.39997558519241921"/>
      </left>
      <right/>
      <top style="hair">
        <color theme="4" tint="0.39997558519241921"/>
      </top>
      <bottom/>
      <diagonal/>
    </border>
    <border>
      <left/>
      <right/>
      <top style="hair">
        <color theme="4" tint="0.39997558519241921"/>
      </top>
      <bottom/>
      <diagonal/>
    </border>
    <border>
      <left/>
      <right style="hair">
        <color theme="4" tint="0.39997558519241921"/>
      </right>
      <top style="hair">
        <color theme="4" tint="0.39997558519241921"/>
      </top>
      <bottom/>
      <diagonal/>
    </border>
    <border>
      <left/>
      <right style="thin">
        <color indexed="64"/>
      </right>
      <top/>
      <bottom style="thin">
        <color rgb="FF0070C0"/>
      </bottom>
      <diagonal/>
    </border>
    <border>
      <left style="dotted">
        <color theme="4" tint="-0.249977111117893"/>
      </left>
      <right style="dotted">
        <color theme="4" tint="-0.249977111117893"/>
      </right>
      <top style="dotted">
        <color theme="4" tint="-0.249977111117893"/>
      </top>
      <bottom style="dotted">
        <color theme="4" tint="-0.249977111117893"/>
      </bottom>
      <diagonal/>
    </border>
    <border>
      <left/>
      <right style="thin">
        <color theme="4" tint="-0.249977111117893"/>
      </right>
      <top/>
      <bottom/>
      <diagonal/>
    </border>
    <border>
      <left/>
      <right style="dotted">
        <color theme="4" tint="-0.249977111117893"/>
      </right>
      <top style="dotted">
        <color theme="4" tint="-0.249977111117893"/>
      </top>
      <bottom style="dotted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/>
      <right style="dotted">
        <color theme="4" tint="-0.249977111117893"/>
      </right>
      <top/>
      <bottom style="dotted">
        <color theme="4" tint="-0.249977111117893"/>
      </bottom>
      <diagonal/>
    </border>
    <border>
      <left style="dotted">
        <color theme="4" tint="-0.249977111117893"/>
      </left>
      <right style="dotted">
        <color theme="4" tint="-0.249977111117893"/>
      </right>
      <top/>
      <bottom style="dotted">
        <color theme="4" tint="-0.249977111117893"/>
      </bottom>
      <diagonal/>
    </border>
  </borders>
  <cellStyleXfs count="10">
    <xf numFmtId="0" fontId="0" fillId="0" borderId="0"/>
    <xf numFmtId="0" fontId="3" fillId="0" borderId="0"/>
    <xf numFmtId="0" fontId="4" fillId="0" borderId="0"/>
    <xf numFmtId="0" fontId="5" fillId="0" borderId="0" applyNumberFormat="0" applyFill="0" applyBorder="0" applyAlignment="0" applyProtection="0"/>
    <xf numFmtId="14" fontId="4" fillId="0" borderId="0" applyFill="0" applyBorder="0">
      <alignment horizontal="center" vertical="center"/>
    </xf>
    <xf numFmtId="0" fontId="4" fillId="0" borderId="0" applyNumberFormat="0" applyFill="0" applyProtection="0">
      <alignment horizontal="right" vertical="center" indent="1"/>
    </xf>
    <xf numFmtId="0" fontId="9" fillId="0" borderId="12" applyNumberFormat="0" applyFill="0" applyProtection="0"/>
    <xf numFmtId="0" fontId="10" fillId="3" borderId="13" applyNumberFormat="0" applyProtection="0">
      <alignment horizontal="center" vertical="center"/>
    </xf>
    <xf numFmtId="9" fontId="2" fillId="0" borderId="0" applyFont="0" applyFill="0" applyBorder="0" applyProtection="0">
      <alignment horizontal="center" vertical="center"/>
    </xf>
    <xf numFmtId="164" fontId="2" fillId="0" borderId="0" applyFont="0" applyFill="0" applyBorder="0" applyProtection="0">
      <alignment horizontal="center" vertical="center"/>
    </xf>
  </cellStyleXfs>
  <cellXfs count="168">
    <xf numFmtId="0" fontId="0" fillId="0" borderId="0" xfId="0"/>
    <xf numFmtId="0" fontId="4" fillId="0" borderId="0" xfId="2"/>
    <xf numFmtId="0" fontId="4" fillId="0" borderId="0" xfId="2" applyAlignment="1">
      <alignment horizontal="center"/>
    </xf>
    <xf numFmtId="0" fontId="6" fillId="2" borderId="0" xfId="2" applyFont="1" applyFill="1" applyAlignment="1">
      <alignment horizontal="left" vertical="center"/>
    </xf>
    <xf numFmtId="0" fontId="7" fillId="2" borderId="0" xfId="2" applyFont="1" applyFill="1" applyAlignment="1">
      <alignment vertical="center"/>
    </xf>
    <xf numFmtId="0" fontId="8" fillId="2" borderId="0" xfId="2" applyFont="1" applyFill="1" applyAlignment="1">
      <alignment horizontal="center" vertical="center"/>
    </xf>
    <xf numFmtId="0" fontId="4" fillId="2" borderId="0" xfId="2" applyFill="1" applyAlignment="1">
      <alignment horizontal="center"/>
    </xf>
    <xf numFmtId="0" fontId="11" fillId="2" borderId="1" xfId="3" applyFont="1" applyFill="1" applyBorder="1" applyAlignment="1" applyProtection="1">
      <alignment horizontal="center" vertical="center"/>
      <protection hidden="1"/>
    </xf>
    <xf numFmtId="0" fontId="12" fillId="2" borderId="0" xfId="2" applyFont="1" applyFill="1" applyAlignment="1">
      <alignment horizontal="right" vertical="center"/>
    </xf>
    <xf numFmtId="0" fontId="18" fillId="2" borderId="0" xfId="3" applyFont="1" applyFill="1" applyAlignment="1" applyProtection="1">
      <alignment horizontal="left" vertical="center" indent="1"/>
      <protection hidden="1"/>
    </xf>
    <xf numFmtId="0" fontId="19" fillId="2" borderId="0" xfId="2" applyFont="1" applyFill="1" applyAlignment="1" applyProtection="1">
      <alignment horizontal="center" vertical="center"/>
      <protection hidden="1"/>
    </xf>
    <xf numFmtId="0" fontId="1" fillId="0" borderId="0" xfId="0" applyFont="1"/>
    <xf numFmtId="0" fontId="21" fillId="0" borderId="0" xfId="0" applyFont="1" applyAlignment="1">
      <alignment horizontal="right" vertical="center"/>
    </xf>
    <xf numFmtId="0" fontId="23" fillId="0" borderId="0" xfId="0" applyFont="1"/>
    <xf numFmtId="0" fontId="25" fillId="0" borderId="0" xfId="0" applyFont="1" applyAlignment="1">
      <alignment horizontal="right" vertical="center" wrapText="1" shrinkToFit="1"/>
    </xf>
    <xf numFmtId="0" fontId="23" fillId="0" borderId="0" xfId="0" applyFont="1" applyAlignment="1">
      <alignment wrapText="1" shrinkToFit="1"/>
    </xf>
    <xf numFmtId="0" fontId="28" fillId="0" borderId="0" xfId="0" applyFont="1"/>
    <xf numFmtId="0" fontId="23" fillId="0" borderId="9" xfId="0" applyFont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0" fillId="5" borderId="23" xfId="0" applyFont="1" applyFill="1" applyBorder="1"/>
    <xf numFmtId="0" fontId="0" fillId="6" borderId="24" xfId="0" applyFill="1" applyBorder="1"/>
    <xf numFmtId="0" fontId="23" fillId="0" borderId="0" xfId="0" applyFont="1" applyAlignment="1" applyProtection="1">
      <alignment horizontal="center" vertical="center" wrapText="1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0" fontId="25" fillId="0" borderId="9" xfId="0" applyFont="1" applyBorder="1" applyAlignment="1">
      <alignment horizontal="right" vertical="center" wrapText="1" shrinkToFit="1"/>
    </xf>
    <xf numFmtId="0" fontId="25" fillId="0" borderId="10" xfId="0" applyFont="1" applyBorder="1" applyAlignment="1">
      <alignment horizontal="right" vertical="center" wrapText="1" shrinkToFit="1"/>
    </xf>
    <xf numFmtId="0" fontId="23" fillId="0" borderId="10" xfId="0" applyFont="1" applyBorder="1" applyAlignment="1" applyProtection="1">
      <alignment horizontal="center" vertical="center" wrapText="1"/>
      <protection locked="0"/>
    </xf>
    <xf numFmtId="0" fontId="28" fillId="0" borderId="10" xfId="0" applyFont="1" applyBorder="1"/>
    <xf numFmtId="0" fontId="23" fillId="0" borderId="10" xfId="0" applyFont="1" applyBorder="1" applyAlignment="1" applyProtection="1">
      <alignment horizontal="center" vertical="center"/>
      <protection locked="0"/>
    </xf>
    <xf numFmtId="0" fontId="23" fillId="0" borderId="11" xfId="0" applyFont="1" applyBorder="1" applyAlignment="1" applyProtection="1">
      <alignment horizontal="center" vertical="center"/>
      <protection locked="0"/>
    </xf>
    <xf numFmtId="0" fontId="0" fillId="0" borderId="7" xfId="0" applyBorder="1"/>
    <xf numFmtId="0" fontId="0" fillId="0" borderId="8" xfId="0" applyBorder="1"/>
    <xf numFmtId="0" fontId="30" fillId="0" borderId="0" xfId="0" applyFont="1" applyAlignment="1" applyProtection="1">
      <alignment horizontal="left" vertical="center" wrapText="1" indent="1"/>
      <protection locked="0"/>
    </xf>
    <xf numFmtId="0" fontId="31" fillId="0" borderId="0" xfId="2" applyFont="1"/>
    <xf numFmtId="0" fontId="31" fillId="0" borderId="0" xfId="2" applyFont="1" applyAlignment="1">
      <alignment horizontal="center"/>
    </xf>
    <xf numFmtId="0" fontId="32" fillId="0" borderId="0" xfId="2" applyFont="1"/>
    <xf numFmtId="0" fontId="33" fillId="0" borderId="0" xfId="2" applyFont="1" applyAlignment="1">
      <alignment horizontal="right" vertical="center" wrapText="1" indent="1"/>
    </xf>
    <xf numFmtId="0" fontId="34" fillId="0" borderId="0" xfId="2" applyFont="1" applyAlignment="1">
      <alignment horizontal="right" vertical="center" wrapText="1" indent="1"/>
    </xf>
    <xf numFmtId="0" fontId="27" fillId="0" borderId="0" xfId="0" applyFont="1"/>
    <xf numFmtId="0" fontId="31" fillId="0" borderId="0" xfId="2" applyFont="1" applyAlignment="1">
      <alignment vertical="center"/>
    </xf>
    <xf numFmtId="0" fontId="34" fillId="0" borderId="0" xfId="2" applyFont="1" applyAlignment="1">
      <alignment horizontal="right"/>
    </xf>
    <xf numFmtId="0" fontId="33" fillId="0" borderId="0" xfId="2" applyFont="1" applyAlignment="1" applyProtection="1">
      <alignment horizontal="center"/>
      <protection hidden="1"/>
    </xf>
    <xf numFmtId="0" fontId="37" fillId="4" borderId="0" xfId="2" applyFont="1" applyFill="1" applyAlignment="1">
      <alignment horizontal="right" vertical="center"/>
    </xf>
    <xf numFmtId="14" fontId="37" fillId="4" borderId="0" xfId="2" applyNumberFormat="1" applyFont="1" applyFill="1" applyAlignment="1" applyProtection="1">
      <alignment horizontal="centerContinuous" vertical="center"/>
      <protection hidden="1"/>
    </xf>
    <xf numFmtId="0" fontId="1" fillId="0" borderId="0" xfId="0" applyFont="1" applyProtection="1">
      <protection hidden="1"/>
    </xf>
    <xf numFmtId="0" fontId="34" fillId="0" borderId="0" xfId="3" applyFont="1" applyFill="1" applyAlignment="1" applyProtection="1">
      <alignment horizontal="right" vertical="center" wrapText="1"/>
      <protection hidden="1"/>
    </xf>
    <xf numFmtId="0" fontId="33" fillId="0" borderId="0" xfId="3" applyFont="1" applyFill="1" applyAlignment="1" applyProtection="1">
      <alignment horizontal="center" vertical="center" wrapText="1"/>
      <protection hidden="1"/>
    </xf>
    <xf numFmtId="0" fontId="34" fillId="0" borderId="0" xfId="2" applyFont="1" applyAlignment="1">
      <alignment horizontal="right" vertical="center"/>
    </xf>
    <xf numFmtId="14" fontId="38" fillId="0" borderId="0" xfId="0" applyNumberFormat="1" applyFont="1" applyAlignment="1" applyProtection="1">
      <alignment horizontal="center" vertical="center"/>
      <protection hidden="1"/>
    </xf>
    <xf numFmtId="0" fontId="33" fillId="0" borderId="0" xfId="3" applyFont="1" applyFill="1" applyAlignment="1" applyProtection="1">
      <alignment horizontal="right" vertical="center" wrapText="1"/>
      <protection hidden="1"/>
    </xf>
    <xf numFmtId="0" fontId="33" fillId="0" borderId="0" xfId="3" applyFont="1" applyFill="1" applyBorder="1" applyAlignment="1" applyProtection="1">
      <alignment horizontal="center" vertical="center" wrapText="1"/>
      <protection hidden="1"/>
    </xf>
    <xf numFmtId="0" fontId="38" fillId="0" borderId="0" xfId="0" applyFont="1" applyProtection="1">
      <protection hidden="1"/>
    </xf>
    <xf numFmtId="0" fontId="27" fillId="0" borderId="0" xfId="0" applyFont="1" applyAlignment="1">
      <alignment horizontal="right" vertical="center"/>
    </xf>
    <xf numFmtId="0" fontId="38" fillId="0" borderId="0" xfId="0" applyFont="1"/>
    <xf numFmtId="0" fontId="39" fillId="0" borderId="0" xfId="0" applyFont="1"/>
    <xf numFmtId="0" fontId="40" fillId="0" borderId="0" xfId="0" applyFont="1" applyAlignment="1">
      <alignment horizontal="center"/>
    </xf>
    <xf numFmtId="0" fontId="28" fillId="0" borderId="0" xfId="0" applyFont="1" applyAlignment="1">
      <alignment vertical="center" wrapText="1"/>
    </xf>
    <xf numFmtId="0" fontId="41" fillId="0" borderId="0" xfId="0" applyFont="1" applyAlignment="1">
      <alignment vertical="center"/>
    </xf>
    <xf numFmtId="0" fontId="42" fillId="0" borderId="0" xfId="0" applyFont="1"/>
    <xf numFmtId="0" fontId="43" fillId="0" borderId="0" xfId="0" applyFont="1" applyAlignment="1">
      <alignment horizontal="center" wrapText="1"/>
    </xf>
    <xf numFmtId="0" fontId="45" fillId="4" borderId="0" xfId="2" applyFont="1" applyFill="1" applyAlignment="1">
      <alignment horizontal="right" vertical="center"/>
    </xf>
    <xf numFmtId="0" fontId="47" fillId="0" borderId="0" xfId="0" applyFont="1" applyAlignment="1">
      <alignment horizontal="left"/>
    </xf>
    <xf numFmtId="14" fontId="35" fillId="0" borderId="0" xfId="2" applyNumberFormat="1" applyFont="1" applyAlignment="1">
      <alignment horizontal="left" vertical="center"/>
    </xf>
    <xf numFmtId="9" fontId="36" fillId="0" borderId="30" xfId="8" applyFont="1" applyFill="1" applyBorder="1" applyAlignment="1" applyProtection="1">
      <alignment horizontal="center" vertical="center" wrapText="1"/>
      <protection hidden="1"/>
    </xf>
    <xf numFmtId="14" fontId="44" fillId="0" borderId="30" xfId="2" applyNumberFormat="1" applyFont="1" applyBorder="1" applyAlignment="1" applyProtection="1">
      <alignment horizontal="center" vertical="center"/>
      <protection locked="0"/>
    </xf>
    <xf numFmtId="14" fontId="44" fillId="0" borderId="30" xfId="2" applyNumberFormat="1" applyFont="1" applyBorder="1" applyAlignment="1" applyProtection="1">
      <alignment horizontal="left" vertical="center" indent="1"/>
      <protection locked="0"/>
    </xf>
    <xf numFmtId="0" fontId="44" fillId="0" borderId="30" xfId="2" applyFont="1" applyBorder="1" applyAlignment="1" applyProtection="1">
      <alignment horizontal="center" vertical="center"/>
      <protection locked="0"/>
    </xf>
    <xf numFmtId="0" fontId="44" fillId="0" borderId="32" xfId="2" applyFont="1" applyBorder="1" applyAlignment="1" applyProtection="1">
      <alignment horizontal="left" vertical="center" wrapText="1" indent="1"/>
      <protection locked="0"/>
    </xf>
    <xf numFmtId="0" fontId="44" fillId="0" borderId="32" xfId="2" applyFont="1" applyBorder="1" applyAlignment="1" applyProtection="1">
      <alignment horizontal="left" indent="1"/>
      <protection locked="0"/>
    </xf>
    <xf numFmtId="0" fontId="44" fillId="0" borderId="34" xfId="2" applyFont="1" applyBorder="1" applyAlignment="1" applyProtection="1">
      <alignment horizontal="left" vertical="center" wrapText="1" indent="1"/>
      <protection locked="0"/>
    </xf>
    <xf numFmtId="9" fontId="36" fillId="0" borderId="35" xfId="8" applyFont="1" applyFill="1" applyBorder="1" applyAlignment="1" applyProtection="1">
      <alignment horizontal="center" vertical="center" wrapText="1"/>
      <protection hidden="1"/>
    </xf>
    <xf numFmtId="14" fontId="44" fillId="0" borderId="35" xfId="2" applyNumberFormat="1" applyFont="1" applyBorder="1" applyAlignment="1" applyProtection="1">
      <alignment horizontal="center" vertical="center"/>
      <protection locked="0"/>
    </xf>
    <xf numFmtId="14" fontId="44" fillId="0" borderId="35" xfId="2" applyNumberFormat="1" applyFont="1" applyBorder="1" applyAlignment="1" applyProtection="1">
      <alignment horizontal="left" vertical="center" indent="1"/>
      <protection locked="0"/>
    </xf>
    <xf numFmtId="0" fontId="44" fillId="0" borderId="35" xfId="2" applyFont="1" applyBorder="1" applyAlignment="1" applyProtection="1">
      <alignment horizontal="center" vertical="center"/>
      <protection locked="0"/>
    </xf>
    <xf numFmtId="0" fontId="32" fillId="4" borderId="33" xfId="2" applyFont="1" applyFill="1" applyBorder="1" applyAlignment="1">
      <alignment horizontal="center" vertical="center"/>
    </xf>
    <xf numFmtId="0" fontId="32" fillId="4" borderId="33" xfId="2" applyFont="1" applyFill="1" applyBorder="1" applyAlignment="1">
      <alignment horizontal="center" vertical="center" wrapText="1"/>
    </xf>
    <xf numFmtId="0" fontId="48" fillId="0" borderId="31" xfId="2" applyFont="1" applyBorder="1" applyAlignment="1" applyProtection="1">
      <alignment horizontal="left" vertical="center" wrapText="1"/>
      <protection locked="0"/>
    </xf>
    <xf numFmtId="0" fontId="24" fillId="4" borderId="4" xfId="0" applyFont="1" applyFill="1" applyBorder="1" applyAlignment="1">
      <alignment horizontal="left" vertical="center" wrapText="1" shrinkToFit="1"/>
    </xf>
    <xf numFmtId="0" fontId="24" fillId="4" borderId="5" xfId="0" applyFont="1" applyFill="1" applyBorder="1" applyAlignment="1">
      <alignment horizontal="left" vertical="center" wrapText="1" shrinkToFit="1"/>
    </xf>
    <xf numFmtId="0" fontId="24" fillId="4" borderId="6" xfId="0" applyFont="1" applyFill="1" applyBorder="1" applyAlignment="1">
      <alignment horizontal="left" vertical="center" wrapText="1" shrinkToFit="1"/>
    </xf>
    <xf numFmtId="0" fontId="24" fillId="4" borderId="1" xfId="0" applyFont="1" applyFill="1" applyBorder="1" applyAlignment="1">
      <alignment horizontal="center" vertical="center" wrapText="1" shrinkToFit="1"/>
    </xf>
    <xf numFmtId="0" fontId="24" fillId="4" borderId="2" xfId="0" applyFont="1" applyFill="1" applyBorder="1" applyAlignment="1">
      <alignment horizontal="center" vertical="center" wrapText="1" shrinkToFit="1"/>
    </xf>
    <xf numFmtId="0" fontId="24" fillId="4" borderId="3" xfId="0" applyFont="1" applyFill="1" applyBorder="1" applyAlignment="1">
      <alignment horizontal="center" vertical="center" wrapText="1" shrinkToFit="1"/>
    </xf>
    <xf numFmtId="0" fontId="23" fillId="0" borderId="9" xfId="0" applyFont="1" applyBorder="1" applyAlignment="1" applyProtection="1">
      <alignment horizontal="left" vertical="center" wrapText="1" indent="1"/>
      <protection locked="0" hidden="1"/>
    </xf>
    <xf numFmtId="0" fontId="23" fillId="0" borderId="10" xfId="0" applyFont="1" applyBorder="1" applyAlignment="1" applyProtection="1">
      <alignment horizontal="left" vertical="center" wrapText="1" indent="1"/>
      <protection locked="0" hidden="1"/>
    </xf>
    <xf numFmtId="0" fontId="23" fillId="0" borderId="11" xfId="0" applyFont="1" applyBorder="1" applyAlignment="1" applyProtection="1">
      <alignment horizontal="left" vertical="center" wrapText="1" indent="1"/>
      <protection locked="0" hidden="1"/>
    </xf>
    <xf numFmtId="0" fontId="24" fillId="4" borderId="1" xfId="0" applyFont="1" applyFill="1" applyBorder="1" applyAlignment="1">
      <alignment horizontal="left" vertical="center" wrapText="1" shrinkToFit="1"/>
    </xf>
    <xf numFmtId="0" fontId="24" fillId="4" borderId="2" xfId="0" applyFont="1" applyFill="1" applyBorder="1" applyAlignment="1">
      <alignment horizontal="left" vertical="center" wrapText="1" shrinkToFit="1"/>
    </xf>
    <xf numFmtId="0" fontId="24" fillId="4" borderId="3" xfId="0" applyFont="1" applyFill="1" applyBorder="1" applyAlignment="1">
      <alignment horizontal="left" vertical="center" wrapText="1" shrinkToFit="1"/>
    </xf>
    <xf numFmtId="0" fontId="21" fillId="0" borderId="4" xfId="0" applyFont="1" applyBorder="1" applyAlignment="1">
      <alignment horizontal="center" vertical="top"/>
    </xf>
    <xf numFmtId="0" fontId="21" fillId="0" borderId="5" xfId="0" applyFont="1" applyBorder="1" applyAlignment="1">
      <alignment horizontal="center" vertical="top"/>
    </xf>
    <xf numFmtId="0" fontId="21" fillId="0" borderId="6" xfId="0" applyFont="1" applyBorder="1" applyAlignment="1">
      <alignment horizontal="center" vertical="top"/>
    </xf>
    <xf numFmtId="0" fontId="21" fillId="0" borderId="4" xfId="0" applyFont="1" applyBorder="1" applyAlignment="1">
      <alignment horizontal="center" vertical="top" wrapText="1"/>
    </xf>
    <xf numFmtId="0" fontId="21" fillId="0" borderId="5" xfId="0" applyFont="1" applyBorder="1" applyAlignment="1">
      <alignment horizontal="center" vertical="top" wrapText="1"/>
    </xf>
    <xf numFmtId="0" fontId="21" fillId="0" borderId="6" xfId="0" applyFont="1" applyBorder="1" applyAlignment="1">
      <alignment horizontal="center" vertical="top" wrapText="1"/>
    </xf>
    <xf numFmtId="0" fontId="23" fillId="0" borderId="7" xfId="0" applyFont="1" applyBorder="1" applyAlignment="1" applyProtection="1">
      <alignment horizontal="center" wrapText="1"/>
      <protection locked="0"/>
    </xf>
    <xf numFmtId="0" fontId="23" fillId="0" borderId="0" xfId="0" applyFont="1" applyAlignment="1" applyProtection="1">
      <alignment horizontal="center" wrapText="1"/>
      <protection locked="0"/>
    </xf>
    <xf numFmtId="0" fontId="23" fillId="0" borderId="8" xfId="0" applyFont="1" applyBorder="1" applyAlignment="1" applyProtection="1">
      <alignment horizontal="center" wrapText="1"/>
      <protection locked="0"/>
    </xf>
    <xf numFmtId="0" fontId="23" fillId="0" borderId="9" xfId="0" applyFont="1" applyBorder="1" applyAlignment="1" applyProtection="1">
      <alignment horizontal="center" wrapText="1"/>
      <protection locked="0"/>
    </xf>
    <xf numFmtId="0" fontId="23" fillId="0" borderId="10" xfId="0" applyFont="1" applyBorder="1" applyAlignment="1" applyProtection="1">
      <alignment horizontal="center" wrapText="1"/>
      <protection locked="0"/>
    </xf>
    <xf numFmtId="0" fontId="23" fillId="0" borderId="11" xfId="0" applyFont="1" applyBorder="1" applyAlignment="1" applyProtection="1">
      <alignment horizontal="center" wrapText="1"/>
      <protection locked="0"/>
    </xf>
    <xf numFmtId="0" fontId="29" fillId="0" borderId="4" xfId="0" applyFont="1" applyBorder="1" applyAlignment="1">
      <alignment horizontal="center"/>
    </xf>
    <xf numFmtId="0" fontId="29" fillId="0" borderId="5" xfId="0" applyFont="1" applyBorder="1" applyAlignment="1">
      <alignment horizontal="center"/>
    </xf>
    <xf numFmtId="0" fontId="29" fillId="0" borderId="6" xfId="0" applyFont="1" applyBorder="1" applyAlignment="1">
      <alignment horizontal="center"/>
    </xf>
    <xf numFmtId="0" fontId="23" fillId="0" borderId="9" xfId="0" applyFont="1" applyBorder="1" applyAlignment="1" applyProtection="1">
      <alignment horizontal="center"/>
      <protection locked="0" hidden="1"/>
    </xf>
    <xf numFmtId="0" fontId="23" fillId="0" borderId="10" xfId="0" applyFont="1" applyBorder="1" applyAlignment="1" applyProtection="1">
      <alignment horizontal="center"/>
      <protection locked="0" hidden="1"/>
    </xf>
    <xf numFmtId="0" fontId="23" fillId="0" borderId="11" xfId="0" applyFont="1" applyBorder="1" applyAlignment="1" applyProtection="1">
      <alignment horizontal="center"/>
      <protection locked="0" hidden="1"/>
    </xf>
    <xf numFmtId="0" fontId="29" fillId="0" borderId="7" xfId="0" applyFont="1" applyBorder="1" applyAlignment="1">
      <alignment horizontal="center"/>
    </xf>
    <xf numFmtId="0" fontId="29" fillId="0" borderId="0" xfId="0" applyFont="1" applyAlignment="1">
      <alignment horizontal="center"/>
    </xf>
    <xf numFmtId="0" fontId="29" fillId="0" borderId="8" xfId="0" applyFont="1" applyBorder="1" applyAlignment="1">
      <alignment horizontal="center"/>
    </xf>
    <xf numFmtId="0" fontId="23" fillId="0" borderId="7" xfId="0" applyFont="1" applyBorder="1" applyAlignment="1" applyProtection="1">
      <alignment horizontal="center"/>
      <protection locked="0" hidden="1"/>
    </xf>
    <xf numFmtId="0" fontId="23" fillId="0" borderId="0" xfId="0" applyFont="1" applyAlignment="1" applyProtection="1">
      <alignment horizontal="center"/>
      <protection locked="0" hidden="1"/>
    </xf>
    <xf numFmtId="0" fontId="23" fillId="0" borderId="8" xfId="0" applyFont="1" applyBorder="1" applyAlignment="1" applyProtection="1">
      <alignment horizontal="center"/>
      <protection locked="0" hidden="1"/>
    </xf>
    <xf numFmtId="0" fontId="23" fillId="0" borderId="4" xfId="0" applyFont="1" applyBorder="1" applyAlignment="1" applyProtection="1">
      <alignment horizontal="left" vertical="center" wrapText="1" indent="1"/>
      <protection locked="0" hidden="1"/>
    </xf>
    <xf numFmtId="0" fontId="23" fillId="0" borderId="5" xfId="0" applyFont="1" applyBorder="1" applyAlignment="1" applyProtection="1">
      <alignment horizontal="left" vertical="center" wrapText="1" indent="1"/>
      <protection locked="0" hidden="1"/>
    </xf>
    <xf numFmtId="0" fontId="23" fillId="0" borderId="6" xfId="0" applyFont="1" applyBorder="1" applyAlignment="1" applyProtection="1">
      <alignment horizontal="left" vertical="center" wrapText="1" indent="1"/>
      <protection locked="0" hidden="1"/>
    </xf>
    <xf numFmtId="0" fontId="23" fillId="0" borderId="7" xfId="0" applyFont="1" applyBorder="1" applyAlignment="1" applyProtection="1">
      <alignment horizontal="left" vertical="center" wrapText="1" indent="1"/>
      <protection locked="0" hidden="1"/>
    </xf>
    <xf numFmtId="0" fontId="23" fillId="0" borderId="0" xfId="0" applyFont="1" applyAlignment="1" applyProtection="1">
      <alignment horizontal="left" vertical="center" wrapText="1" indent="1"/>
      <protection locked="0" hidden="1"/>
    </xf>
    <xf numFmtId="0" fontId="23" fillId="0" borderId="8" xfId="0" applyFont="1" applyBorder="1" applyAlignment="1" applyProtection="1">
      <alignment horizontal="left" vertical="center" wrapText="1" indent="1"/>
      <protection locked="0" hidden="1"/>
    </xf>
    <xf numFmtId="0" fontId="22" fillId="0" borderId="18" xfId="0" applyFont="1" applyBorder="1" applyAlignment="1" applyProtection="1">
      <alignment horizontal="center" vertical="center"/>
      <protection locked="0"/>
    </xf>
    <xf numFmtId="0" fontId="22" fillId="0" borderId="19" xfId="0" applyFont="1" applyBorder="1" applyAlignment="1" applyProtection="1">
      <alignment horizontal="center" vertical="center"/>
      <protection locked="0"/>
    </xf>
    <xf numFmtId="0" fontId="22" fillId="0" borderId="20" xfId="0" applyFont="1" applyBorder="1" applyAlignment="1" applyProtection="1">
      <alignment horizontal="center" vertical="center"/>
      <protection locked="0"/>
    </xf>
    <xf numFmtId="14" fontId="22" fillId="0" borderId="26" xfId="0" applyNumberFormat="1" applyFont="1" applyBorder="1" applyAlignment="1" applyProtection="1">
      <alignment horizontal="center" vertical="center"/>
      <protection locked="0" hidden="1"/>
    </xf>
    <xf numFmtId="0" fontId="22" fillId="0" borderId="27" xfId="0" applyFont="1" applyBorder="1" applyAlignment="1" applyProtection="1">
      <alignment horizontal="center" vertical="center"/>
      <protection locked="0" hidden="1"/>
    </xf>
    <xf numFmtId="0" fontId="22" fillId="0" borderId="28" xfId="0" applyFont="1" applyBorder="1" applyAlignment="1" applyProtection="1">
      <alignment horizontal="center" vertical="center"/>
      <protection locked="0" hidden="1"/>
    </xf>
    <xf numFmtId="0" fontId="23" fillId="0" borderId="22" xfId="0" applyFont="1" applyBorder="1" applyAlignment="1" applyProtection="1">
      <alignment horizontal="left" vertical="center" wrapText="1" indent="1"/>
      <protection locked="0" hidden="1"/>
    </xf>
    <xf numFmtId="0" fontId="25" fillId="0" borderId="7" xfId="0" applyFont="1" applyBorder="1" applyAlignment="1">
      <alignment horizontal="right" vertical="center" wrapText="1" shrinkToFit="1"/>
    </xf>
    <xf numFmtId="0" fontId="25" fillId="0" borderId="0" xfId="0" applyFont="1" applyAlignment="1">
      <alignment horizontal="right" vertical="center" wrapText="1" shrinkToFit="1"/>
    </xf>
    <xf numFmtId="0" fontId="26" fillId="0" borderId="21" xfId="0" applyFont="1" applyBorder="1" applyAlignment="1" applyProtection="1">
      <alignment horizontal="center" vertical="center" wrapText="1" shrinkToFit="1"/>
      <protection locked="0" hidden="1"/>
    </xf>
    <xf numFmtId="0" fontId="26" fillId="0" borderId="29" xfId="0" applyFont="1" applyBorder="1" applyAlignment="1" applyProtection="1">
      <alignment horizontal="center" vertical="center" wrapText="1" shrinkToFit="1"/>
      <protection locked="0" hidden="1"/>
    </xf>
    <xf numFmtId="0" fontId="23" fillId="0" borderId="25" xfId="0" applyFont="1" applyBorder="1" applyAlignment="1" applyProtection="1">
      <alignment horizontal="left" vertical="center" wrapText="1" indent="1"/>
      <protection locked="0" hidden="1"/>
    </xf>
    <xf numFmtId="0" fontId="23" fillId="0" borderId="22" xfId="0" applyFont="1" applyBorder="1" applyAlignment="1" applyProtection="1">
      <alignment horizontal="left" vertical="center" indent="1"/>
      <protection locked="0" hidden="1"/>
    </xf>
    <xf numFmtId="0" fontId="23" fillId="0" borderId="25" xfId="0" applyFont="1" applyBorder="1" applyAlignment="1" applyProtection="1">
      <alignment horizontal="left" vertical="center" indent="1"/>
      <protection locked="0" hidden="1"/>
    </xf>
    <xf numFmtId="0" fontId="46" fillId="4" borderId="0" xfId="3" applyFont="1" applyFill="1" applyAlignment="1" applyProtection="1">
      <alignment horizontal="left" vertical="center" wrapText="1" indent="1"/>
      <protection hidden="1"/>
    </xf>
    <xf numFmtId="0" fontId="14" fillId="2" borderId="0" xfId="2" applyFont="1" applyFill="1" applyAlignment="1">
      <alignment horizontal="center"/>
    </xf>
    <xf numFmtId="0" fontId="13" fillId="0" borderId="14" xfId="2" applyFont="1" applyBorder="1" applyAlignment="1">
      <alignment horizontal="center" vertical="center" wrapText="1"/>
    </xf>
    <xf numFmtId="0" fontId="17" fillId="0" borderId="4" xfId="2" applyFont="1" applyBorder="1" applyAlignment="1" applyProtection="1">
      <alignment horizontal="center" vertical="center" wrapText="1"/>
      <protection locked="0"/>
    </xf>
    <xf numFmtId="0" fontId="17" fillId="0" borderId="5" xfId="2" applyFont="1" applyBorder="1" applyAlignment="1" applyProtection="1">
      <alignment horizontal="center" vertical="center" wrapText="1"/>
      <protection locked="0"/>
    </xf>
    <xf numFmtId="0" fontId="17" fillId="0" borderId="6" xfId="2" applyFont="1" applyBorder="1" applyAlignment="1" applyProtection="1">
      <alignment horizontal="center" vertical="center" wrapText="1"/>
      <protection locked="0"/>
    </xf>
    <xf numFmtId="0" fontId="17" fillId="0" borderId="7" xfId="2" applyFont="1" applyBorder="1" applyAlignment="1" applyProtection="1">
      <alignment horizontal="center" vertical="center" wrapText="1"/>
      <protection locked="0"/>
    </xf>
    <xf numFmtId="0" fontId="17" fillId="0" borderId="0" xfId="2" applyFont="1" applyAlignment="1" applyProtection="1">
      <alignment horizontal="center" vertical="center" wrapText="1"/>
      <protection locked="0"/>
    </xf>
    <xf numFmtId="0" fontId="17" fillId="0" borderId="8" xfId="2" applyFont="1" applyBorder="1" applyAlignment="1" applyProtection="1">
      <alignment horizontal="center" vertical="center" wrapText="1"/>
      <protection locked="0"/>
    </xf>
    <xf numFmtId="14" fontId="15" fillId="0" borderId="4" xfId="2" applyNumberFormat="1" applyFont="1" applyBorder="1" applyAlignment="1" applyProtection="1">
      <alignment horizontal="center" vertical="center" wrapText="1"/>
      <protection hidden="1"/>
    </xf>
    <xf numFmtId="0" fontId="15" fillId="0" borderId="5" xfId="2" applyFont="1" applyBorder="1" applyAlignment="1" applyProtection="1">
      <alignment horizontal="center" vertical="center" wrapText="1"/>
      <protection hidden="1"/>
    </xf>
    <xf numFmtId="0" fontId="15" fillId="0" borderId="6" xfId="2" applyFont="1" applyBorder="1" applyAlignment="1" applyProtection="1">
      <alignment horizontal="center" vertical="center" wrapText="1"/>
      <protection hidden="1"/>
    </xf>
    <xf numFmtId="0" fontId="15" fillId="0" borderId="7" xfId="2" applyFont="1" applyBorder="1" applyAlignment="1" applyProtection="1">
      <alignment horizontal="center" vertical="center" wrapText="1"/>
      <protection hidden="1"/>
    </xf>
    <xf numFmtId="0" fontId="15" fillId="0" borderId="0" xfId="2" applyFont="1" applyAlignment="1" applyProtection="1">
      <alignment horizontal="center" vertical="center" wrapText="1"/>
      <protection hidden="1"/>
    </xf>
    <xf numFmtId="0" fontId="15" fillId="0" borderId="8" xfId="2" applyFont="1" applyBorder="1" applyAlignment="1" applyProtection="1">
      <alignment horizontal="center" vertical="center" wrapText="1"/>
      <protection hidden="1"/>
    </xf>
    <xf numFmtId="0" fontId="15" fillId="0" borderId="9" xfId="2" applyFont="1" applyBorder="1" applyAlignment="1" applyProtection="1">
      <alignment horizontal="center" vertical="center" wrapText="1"/>
      <protection hidden="1"/>
    </xf>
    <xf numFmtId="0" fontId="15" fillId="0" borderId="10" xfId="2" applyFont="1" applyBorder="1" applyAlignment="1" applyProtection="1">
      <alignment horizontal="center" vertical="center" wrapText="1"/>
      <protection hidden="1"/>
    </xf>
    <xf numFmtId="0" fontId="15" fillId="0" borderId="11" xfId="2" applyFont="1" applyBorder="1" applyAlignment="1" applyProtection="1">
      <alignment horizontal="center" vertical="center" wrapText="1"/>
      <protection hidden="1"/>
    </xf>
    <xf numFmtId="0" fontId="17" fillId="0" borderId="9" xfId="2" applyFont="1" applyBorder="1" applyAlignment="1" applyProtection="1">
      <alignment horizontal="center" vertical="center" wrapText="1"/>
      <protection locked="0"/>
    </xf>
    <xf numFmtId="0" fontId="17" fillId="0" borderId="10" xfId="2" applyFont="1" applyBorder="1" applyAlignment="1" applyProtection="1">
      <alignment horizontal="center" vertical="center" wrapText="1"/>
      <protection locked="0"/>
    </xf>
    <xf numFmtId="0" fontId="17" fillId="0" borderId="11" xfId="2" applyFont="1" applyBorder="1" applyAlignment="1" applyProtection="1">
      <alignment horizontal="center" vertical="center" wrapText="1"/>
      <protection locked="0"/>
    </xf>
    <xf numFmtId="0" fontId="16" fillId="2" borderId="2" xfId="2" applyFont="1" applyFill="1" applyBorder="1" applyAlignment="1">
      <alignment horizontal="center" vertical="center"/>
    </xf>
    <xf numFmtId="0" fontId="16" fillId="2" borderId="3" xfId="2" applyFont="1" applyFill="1" applyBorder="1" applyAlignment="1">
      <alignment horizontal="center" vertical="center"/>
    </xf>
    <xf numFmtId="14" fontId="15" fillId="0" borderId="15" xfId="2" applyNumberFormat="1" applyFont="1" applyBorder="1" applyAlignment="1" applyProtection="1">
      <alignment horizontal="center" vertical="center" wrapText="1"/>
      <protection locked="0"/>
    </xf>
    <xf numFmtId="14" fontId="15" fillId="0" borderId="17" xfId="2" applyNumberFormat="1" applyFont="1" applyBorder="1" applyAlignment="1" applyProtection="1">
      <alignment horizontal="center" vertical="center" wrapText="1"/>
      <protection locked="0"/>
    </xf>
    <xf numFmtId="14" fontId="15" fillId="0" borderId="16" xfId="2" applyNumberFormat="1" applyFont="1" applyBorder="1" applyAlignment="1" applyProtection="1">
      <alignment horizontal="center" vertical="center" wrapText="1"/>
      <protection locked="0"/>
    </xf>
    <xf numFmtId="14" fontId="15" fillId="0" borderId="4" xfId="2" applyNumberFormat="1" applyFont="1" applyBorder="1" applyAlignment="1" applyProtection="1">
      <alignment horizontal="center" vertical="center" wrapText="1"/>
      <protection locked="0"/>
    </xf>
    <xf numFmtId="0" fontId="15" fillId="0" borderId="5" xfId="2" applyFont="1" applyBorder="1" applyAlignment="1" applyProtection="1">
      <alignment horizontal="center" vertical="center" wrapText="1"/>
      <protection locked="0"/>
    </xf>
    <xf numFmtId="0" fontId="15" fillId="0" borderId="6" xfId="2" applyFont="1" applyBorder="1" applyAlignment="1" applyProtection="1">
      <alignment horizontal="center" vertical="center" wrapText="1"/>
      <protection locked="0"/>
    </xf>
    <xf numFmtId="0" fontId="15" fillId="0" borderId="7" xfId="2" applyFont="1" applyBorder="1" applyAlignment="1" applyProtection="1">
      <alignment horizontal="center" vertical="center" wrapText="1"/>
      <protection locked="0"/>
    </xf>
    <xf numFmtId="0" fontId="15" fillId="0" borderId="0" xfId="2" applyFont="1" applyAlignment="1" applyProtection="1">
      <alignment horizontal="center" vertical="center" wrapText="1"/>
      <protection locked="0"/>
    </xf>
    <xf numFmtId="0" fontId="15" fillId="0" borderId="8" xfId="2" applyFont="1" applyBorder="1" applyAlignment="1" applyProtection="1">
      <alignment horizontal="center" vertical="center" wrapText="1"/>
      <protection locked="0"/>
    </xf>
    <xf numFmtId="0" fontId="15" fillId="0" borderId="9" xfId="2" applyFont="1" applyBorder="1" applyAlignment="1" applyProtection="1">
      <alignment horizontal="center" vertical="center" wrapText="1"/>
      <protection locked="0"/>
    </xf>
    <xf numFmtId="0" fontId="15" fillId="0" borderId="10" xfId="2" applyFont="1" applyBorder="1" applyAlignment="1" applyProtection="1">
      <alignment horizontal="center" vertical="center" wrapText="1"/>
      <protection locked="0"/>
    </xf>
    <xf numFmtId="0" fontId="15" fillId="0" borderId="11" xfId="2" applyFont="1" applyBorder="1" applyAlignment="1" applyProtection="1">
      <alignment horizontal="center" vertical="center" wrapText="1"/>
      <protection locked="0"/>
    </xf>
  </cellXfs>
  <cellStyles count="10">
    <cellStyle name="Encabezado 4 2" xfId="7" xr:uid="{FFA679B1-DE3E-45F7-A0CB-FA881C69880F}"/>
    <cellStyle name="Fecha" xfId="4" xr:uid="{18548165-3CE1-4DBF-B0A0-4107614A9874}"/>
    <cellStyle name="Millares [0] 2" xfId="9" xr:uid="{51560D7E-4165-44EE-B1E8-60B396A152A7}"/>
    <cellStyle name="Normal" xfId="0" builtinId="0"/>
    <cellStyle name="Normal 2" xfId="2" xr:uid="{EE5F2CDE-17E6-4606-896B-4F8660C1A1CF}"/>
    <cellStyle name="Porcentaje 2" xfId="8" xr:uid="{ADE0C5B8-F18F-4805-86B3-9937B53D5F96}"/>
    <cellStyle name="Título 2 2" xfId="6" xr:uid="{5E47487F-879B-40DB-AEF3-387D1BE3E669}"/>
    <cellStyle name="Título 3 2" xfId="5" xr:uid="{3385DC84-1716-4E88-A382-77AE6BCF0C6A}"/>
    <cellStyle name="Título 4" xfId="3" xr:uid="{92EED884-1F65-4E43-80C3-0BEA37B002B5}"/>
    <cellStyle name="zTextoOculto" xfId="1" xr:uid="{0F47DCE9-33D8-415E-9447-819E660C7C52}"/>
  </cellStyles>
  <dxfs count="37">
    <dxf>
      <font>
        <color rgb="FFCCFFCC"/>
      </font>
      <fill>
        <patternFill>
          <bgColor rgb="FFCCFFCC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004A82"/>
      </font>
      <fill>
        <patternFill>
          <bgColor rgb="FF004A82"/>
        </patternFill>
      </fill>
    </dxf>
    <dxf>
      <font>
        <color theme="0"/>
      </font>
    </dxf>
    <dxf>
      <font>
        <color theme="0"/>
      </font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4A82"/>
      </font>
      <fill>
        <patternFill>
          <bgColor rgb="FF004A8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22" formatCode="mmm\-yy"/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</dxf>
    <dxf>
      <border outline="0"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Segoe U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dotted">
          <color theme="4" tint="-0.249977111117893"/>
        </left>
        <right style="dotted">
          <color theme="4" tint="-0.249977111117893"/>
        </right>
        <top style="dotted">
          <color theme="4" tint="-0.249977111117893"/>
        </top>
        <bottom style="dotted">
          <color theme="4" tint="-0.249977111117893"/>
        </bottom>
        <vertical style="dotted">
          <color theme="4" tint="-0.249977111117893"/>
        </vertical>
        <horizontal style="dotted">
          <color theme="4" tint="-0.249977111117893"/>
        </horizontal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Segoe U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 diagonalUp="0" diagonalDown="0">
        <left style="dotted">
          <color theme="4" tint="-0.249977111117893"/>
        </left>
        <right style="dotted">
          <color theme="4" tint="-0.249977111117893"/>
        </right>
        <top style="dotted">
          <color theme="4" tint="-0.249977111117893"/>
        </top>
        <bottom style="dotted">
          <color theme="4" tint="-0.249977111117893"/>
        </bottom>
        <vertical style="dotted">
          <color theme="4" tint="-0.249977111117893"/>
        </vertical>
        <horizontal style="dotted">
          <color theme="4" tint="-0.249977111117893"/>
        </horizontal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Segoe UI"/>
        <family val="2"/>
        <scheme val="none"/>
      </font>
      <numFmt numFmtId="165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theme="4" tint="-0.249977111117893"/>
        </left>
        <right style="dotted">
          <color theme="4" tint="-0.249977111117893"/>
        </right>
        <top style="dotted">
          <color theme="4" tint="-0.249977111117893"/>
        </top>
        <bottom style="dotted">
          <color theme="4" tint="-0.249977111117893"/>
        </bottom>
        <vertical style="dotted">
          <color theme="4" tint="-0.249977111117893"/>
        </vertical>
        <horizontal style="dotted">
          <color theme="4" tint="-0.249977111117893"/>
        </horizontal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Segoe UI"/>
        <family val="2"/>
        <scheme val="none"/>
      </font>
      <numFmt numFmtId="165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theme="4" tint="-0.249977111117893"/>
        </left>
        <right style="dotted">
          <color theme="4" tint="-0.249977111117893"/>
        </right>
        <top style="dotted">
          <color theme="4" tint="-0.249977111117893"/>
        </top>
        <bottom style="dotted">
          <color theme="4" tint="-0.249977111117893"/>
        </bottom>
        <vertical style="dotted">
          <color theme="4" tint="-0.249977111117893"/>
        </vertical>
        <horizontal style="dotted">
          <color theme="4" tint="-0.249977111117893"/>
        </horizontal>
      </border>
      <protection locked="0" hidden="0"/>
    </dxf>
    <dxf>
      <font>
        <i/>
        <strike val="0"/>
        <outline val="0"/>
        <shadow val="0"/>
        <u val="none"/>
        <vertAlign val="baseline"/>
        <sz val="9"/>
        <color theme="1" tint="0.14999847407452621"/>
        <name val="Segoe U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dotted">
          <color theme="4" tint="-0.249977111117893"/>
        </left>
        <right style="dotted">
          <color theme="4" tint="-0.249977111117893"/>
        </right>
        <top style="dotted">
          <color theme="4" tint="-0.249977111117893"/>
        </top>
        <bottom style="dotted">
          <color theme="4" tint="-0.249977111117893"/>
        </bottom>
        <vertical style="dotted">
          <color theme="4" tint="-0.249977111117893"/>
        </vertical>
        <horizontal style="dotted">
          <color theme="4" tint="-0.249977111117893"/>
        </horizontal>
      </border>
      <protection locked="0" hidden="0"/>
    </dxf>
    <dxf>
      <font>
        <b/>
        <strike val="0"/>
        <outline val="0"/>
        <shadow val="0"/>
        <u val="none"/>
        <vertAlign val="baseline"/>
        <sz val="9"/>
        <color theme="1" tint="0.14999847407452621"/>
        <name val="Segoe UI"/>
        <family val="2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dotted">
          <color theme="4" tint="-0.249977111117893"/>
        </left>
        <right style="dotted">
          <color theme="4" tint="-0.249977111117893"/>
        </right>
        <top style="dotted">
          <color theme="4" tint="-0.249977111117893"/>
        </top>
        <bottom style="dotted">
          <color theme="4" tint="-0.249977111117893"/>
        </bottom>
        <vertical style="dotted">
          <color theme="4" tint="-0.249977111117893"/>
        </vertical>
        <horizontal style="dotted">
          <color theme="4" tint="-0.249977111117893"/>
        </horizontal>
      </border>
      <protection locked="1" hidden="1"/>
    </dxf>
    <dxf>
      <font>
        <i/>
        <strike val="0"/>
        <outline val="0"/>
        <shadow val="0"/>
        <u val="none"/>
        <vertAlign val="baseline"/>
        <sz val="9"/>
        <color theme="1" tint="0.14999847407452621"/>
        <name val="Segoe UI"/>
        <family val="2"/>
        <scheme val="none"/>
      </font>
      <alignment horizontal="left" textRotation="0" relativeIndent="1" justifyLastLine="0" shrinkToFit="0" readingOrder="0"/>
      <border diagonalUp="0" diagonalDown="0" outline="0">
        <left style="thin">
          <color theme="4" tint="-0.249977111117893"/>
        </left>
        <right style="dotted">
          <color theme="4" tint="-0.249977111117893"/>
        </right>
        <top style="dotted">
          <color theme="4" tint="-0.249977111117893"/>
        </top>
        <bottom style="dotted">
          <color theme="4" tint="-0.249977111117893"/>
        </bottom>
      </border>
      <protection locked="0" hidden="0"/>
    </dxf>
    <dxf>
      <font>
        <b/>
        <i/>
        <strike val="0"/>
        <outline val="0"/>
        <shadow val="0"/>
        <u val="none"/>
        <vertAlign val="baseline"/>
        <sz val="10"/>
        <color theme="1" tint="0.249977111117893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theme="4" tint="-0.249977111117893"/>
        </right>
        <top/>
        <bottom/>
      </border>
      <protection locked="0" hidden="0"/>
    </dxf>
    <dxf>
      <font>
        <strike val="0"/>
        <outline val="0"/>
        <shadow val="0"/>
        <u val="none"/>
        <vertAlign val="baseline"/>
        <sz val="10"/>
        <color theme="1" tint="0.14999847407452621"/>
        <name val="Segoe UI"/>
        <family val="2"/>
        <scheme val="none"/>
      </font>
    </dxf>
    <dxf>
      <border>
        <bottom style="thin">
          <color theme="4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egoe UI"/>
        <family val="2"/>
        <scheme val="none"/>
      </font>
      <fill>
        <patternFill patternType="solid">
          <fgColor indexed="64"/>
          <bgColor rgb="FF004A82"/>
        </patternFill>
      </fill>
      <alignment horizontal="center" vertical="center" textRotation="0" wrapText="1" indent="0" justifyLastLine="0" shrinkToFit="0" readingOrder="0"/>
    </dxf>
    <dxf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fill>
        <patternFill patternType="none">
          <fgColor indexed="64"/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  <border diagonalUp="0" diagonalDown="0">
        <left/>
        <right/>
        <top/>
        <bottom/>
        <vertical/>
        <horizontal/>
      </border>
    </dxf>
    <dxf>
      <font>
        <color auto="1"/>
      </font>
      <fill>
        <patternFill>
          <bgColor theme="0" tint="-4.9989318521683403E-2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Estilo de tabla personalizado" pivot="0" count="5" xr9:uid="{DB34DE3A-F4E9-4213-8A8B-46283512665F}">
      <tableStyleElement type="wholeTable" dxfId="36"/>
      <tableStyleElement type="headerRow" dxfId="35"/>
      <tableStyleElement type="firstRowStripe" dxfId="34"/>
      <tableStyleElement type="firstColumnStripe" dxfId="33"/>
      <tableStyleElement type="secondColumnStripe" dxfId="32"/>
    </tableStyle>
    <tableStyle name="Invisible" pivot="0" table="0" count="0" xr9:uid="{DF6054BC-DAAB-4E21-9BD5-5F1ABC4B803D}"/>
  </tableStyles>
  <colors>
    <mruColors>
      <color rgb="FF004A82"/>
      <color rgb="FFCCFFCC"/>
      <color rgb="FFFFC7CE"/>
      <color rgb="FF99FF99"/>
      <color rgb="FFFF1111"/>
      <color rgb="FF00E266"/>
      <color rgb="FF00E668"/>
      <color rgb="FF00FF00"/>
      <color rgb="FF3E9F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7" Type="http://schemas.openxmlformats.org/officeDocument/2006/relationships/theme" Target="theme/theme1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eetMetadata" Target="metadata.xml"/><Relationship Id="rId24" Type="http://schemas.openxmlformats.org/officeDocument/2006/relationships/customXml" Target="../customXml/item11.xml"/><Relationship Id="rId32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346523</xdr:colOff>
      <xdr:row>0</xdr:row>
      <xdr:rowOff>70908</xdr:rowOff>
    </xdr:from>
    <xdr:to>
      <xdr:col>1</xdr:col>
      <xdr:colOff>3255432</xdr:colOff>
      <xdr:row>1</xdr:row>
      <xdr:rowOff>47625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723" y="70908"/>
          <a:ext cx="2908909" cy="1094317"/>
        </a:xfrm>
        <a:prstGeom prst="rect">
          <a:avLst/>
        </a:prstGeom>
      </xdr:spPr>
    </xdr:pic>
    <xdr:clientData/>
  </xdr:twoCellAnchor>
  <xdr:oneCellAnchor>
    <xdr:from>
      <xdr:col>2</xdr:col>
      <xdr:colOff>1086590</xdr:colOff>
      <xdr:row>0</xdr:row>
      <xdr:rowOff>128375</xdr:rowOff>
    </xdr:from>
    <xdr:ext cx="5144743" cy="845581"/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422370" y="128375"/>
          <a:ext cx="5144743" cy="845581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s-ES" sz="4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Montserrat" pitchFamily="2" charset="0"/>
            </a:rPr>
            <a:t>PLAN</a:t>
          </a:r>
          <a:r>
            <a:rPr lang="es-ES" sz="4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Montserrat" pitchFamily="2" charset="0"/>
            </a:rPr>
            <a:t> DE MEJORA</a:t>
          </a:r>
          <a:endParaRPr lang="es-ES" sz="40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Montserrat" pitchFamily="2" charset="0"/>
          </a:endParaRPr>
        </a:p>
      </xdr:txBody>
    </xdr:sp>
    <xdr:clientData/>
  </xdr:oneCellAnchor>
  <xdr:oneCellAnchor>
    <xdr:from>
      <xdr:col>8</xdr:col>
      <xdr:colOff>857250</xdr:colOff>
      <xdr:row>0</xdr:row>
      <xdr:rowOff>152400</xdr:rowOff>
    </xdr:from>
    <xdr:ext cx="1821608" cy="749821"/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20FD236-6697-4591-8F4A-20CF04CE75A3}"/>
            </a:ext>
          </a:extLst>
        </xdr:cNvPr>
        <xdr:cNvSpPr/>
      </xdr:nvSpPr>
      <xdr:spPr>
        <a:xfrm>
          <a:off x="13049250" y="152400"/>
          <a:ext cx="1821608" cy="74982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FECHA: ENERO 2024</a:t>
          </a:r>
        </a:p>
        <a:p>
          <a:pPr algn="ctr"/>
          <a:r>
            <a:rPr lang="es-E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Núm. de Rev.: 11  </a:t>
          </a:r>
        </a:p>
        <a:p>
          <a:pPr algn="ctr"/>
          <a:r>
            <a:rPr lang="es-E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CLAVE:   OOMRSC-21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aez\Downloads\202512191325339123.xlsx" TargetMode="External"/><Relationship Id="rId1" Type="http://schemas.openxmlformats.org/officeDocument/2006/relationships/externalLinkPath" Target="file:///C:\Users\hpaez\Downloads\2025121913253391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GISTRO"/>
      <sheetName val="ANÁLISIS"/>
      <sheetName val="ACTIVIDADES"/>
      <sheetName val="CRITERIOS!"/>
      <sheetName val="DATOS "/>
      <sheetName val="AUDITOR"/>
      <sheetName val="202512191325339123"/>
    </sheetNames>
    <sheetDataSet>
      <sheetData sheetId="0"/>
      <sheetData sheetId="1"/>
      <sheetData sheetId="2"/>
      <sheetData sheetId="3" refreshError="1"/>
      <sheetData sheetId="4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E0C2902-8F3C-4BA9-82B8-77E64EC4FACC}" name="ACTIVIDADES7" displayName="ACTIVIDADES7" ref="A8:H16" totalsRowShown="0" headerRowDxfId="31" dataDxfId="29" headerRowBorderDxfId="30" headerRowCellStyle="Normal 2">
  <autoFilter ref="A8:H16" xr:uid="{29E5A880-80D5-4B65-B5FB-8FB3913D3D2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32B5A87-12C3-4FEC-8643-68706BCB11DD}" name="ACTIVIDADES" dataDxfId="28" dataCellStyle="Normal 2"/>
    <tableColumn id="3" xr3:uid="{F55E37FC-146D-499B-A5E3-E8CA1C7622D3}" name="Responsable de la actividad" dataDxfId="27"/>
    <tableColumn id="4" xr3:uid="{D3D5A5F8-8843-4A0D-827A-F7DF1690407F}" name="Indicador de progreso" dataDxfId="26" dataCellStyle="Porcentaje 2">
      <calculatedColumnFormula array="1">IFERROR(IF(ACTIVIDADES7[[#This Row],[Fecha de término]]="","",_xlfn.IFS(ACTIVIDADES7[[#This Row],[Resultado Verificado (Auditor)]]="✔️",1,ACTIVIDADES7[[#This Row],[Fecha de término]]&gt;TODAY(),DATEDIF(REGISTRO!$T$3,TODAY(),"D")/DATEDIF(REGISTRO!$T$3,ACTIVIDADES7[[#This Row],[Fecha de término]],"D"),ACTIVIDADES7[[#This Row],[1er. Replanteo]]&gt;TODAY(),DATEDIF(REGISTRO!$T$3,TODAY(),"D")/DATEDIF(REGISTRO!$T$3,ACTIVIDADES7[[#This Row],[1er. Replanteo]],"D"),ACTIVIDADES7[[#This Row],[2do. Replanteo]]&gt;TODAY(),DATEDIF(REGISTRO!$T$3,TODAY(),"D")/DATEDIF(REGISTRO!$T$3,ACTIVIDADES7[[#This Row],[2do. Replanteo]],"D"))),"Actividad para revisión")</calculatedColumnFormula>
    </tableColumn>
    <tableColumn id="5" xr3:uid="{EF57E56B-6CA3-424F-9A2A-B907A11F2FB3}" name="Fecha de término" dataDxfId="25"/>
    <tableColumn id="7" xr3:uid="{FC2E928D-522B-42B0-98E9-37295B298CBF}" name="1er. Replanteo" dataDxfId="24" dataCellStyle="Normal 2"/>
    <tableColumn id="6" xr3:uid="{4260E539-0036-403B-879D-986D14645AC4}" name="2do. Replanteo" dataDxfId="23" dataCellStyle="Normal 2"/>
    <tableColumn id="9" xr3:uid="{B1F80507-2F2E-40F6-9CF8-190CC693B63D}" name="Evidencia" dataDxfId="22" dataCellStyle="Fecha"/>
    <tableColumn id="8" xr3:uid="{7CAD93B0-3623-42BF-A001-637C790A3689}" name="Resultado Verificado (Auditor)" dataDxfId="21" dataCellStyle="Normal 2"/>
  </tableColumns>
  <tableStyleInfo name="TableStyleLight9" showFirstColumn="0" showLastColumn="0" showRowStripes="1" showColumnStripes="0"/>
  <extLst>
    <ext xmlns:x14="http://schemas.microsoft.com/office/spreadsheetml/2009/9/main" uri="{504A1905-F514-4f6f-8877-14C23A59335A}">
      <x14:table altTextSummary="Escriba la información del hito del proyecto en esta tabla. Escriba una descripción de una fase, tarea, actividad etc. en la columna debajo de Descripción del hito. Asigne el elemento a alguien de la columna Asignado a. Actualice el progreso y consulte las barras de datos que se actualizan automáticamente en la columna de progreso. Escriba la fecha de inicio en la columna Inicio y el número de días en la columna Número de días. 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AD95AC-9CDC-4A47-BC48-5A882CCEEE93}" name="ARE" displayName="ARE" ref="A1:A41" totalsRowShown="0" dataDxfId="19" headerRowBorderDxfId="20" tableBorderDxfId="18">
  <autoFilter ref="A1:A41" xr:uid="{7EAD95AC-9CDC-4A47-BC48-5A882CCEEE93}"/>
  <sortState xmlns:xlrd2="http://schemas.microsoft.com/office/spreadsheetml/2017/richdata2" ref="A2:A32">
    <sortCondition ref="A1:A32"/>
  </sortState>
  <tableColumns count="1">
    <tableColumn id="1" xr3:uid="{877A363A-CC56-4FEB-83DB-EC080788ADB1}" name="Área" dataDxfId="1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F497A92-7E04-4897-A69B-1411CDE16EC5}" name="CAT" displayName="CAT" ref="C1:C6" totalsRowShown="0">
  <autoFilter ref="C1:C6" xr:uid="{1F497A92-7E04-4897-A69B-1411CDE16EC5}"/>
  <tableColumns count="1">
    <tableColumn id="1" xr3:uid="{5A0DACD0-4DA4-4EA6-9842-C8AE769F6B17}" name="Categorias mejora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C0EAC6D-A602-4B3D-A76E-533E808A2230}" name="PER" displayName="PER" ref="E1:E4" totalsRowShown="0">
  <autoFilter ref="E1:E4" xr:uid="{8C0EAC6D-A602-4B3D-A76E-533E808A2230}"/>
  <tableColumns count="1">
    <tableColumn id="1" xr3:uid="{4EEC1A8B-F8D3-404F-921E-717386BA196F}" name="periodo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C3859CB-F6E4-4DA1-B10A-863BEE04C75B}" name="ORI" displayName="ORI" ref="I1:I3" totalsRowShown="0" headerRowDxfId="16" dataDxfId="14" headerRowBorderDxfId="15" tableBorderDxfId="13" totalsRowBorderDxfId="12">
  <autoFilter ref="I1:I3" xr:uid="{5C3859CB-F6E4-4DA1-B10A-863BEE04C75B}"/>
  <tableColumns count="1">
    <tableColumn id="1" xr3:uid="{464A933D-3ABF-49F4-B5B7-8D0A26767C08}" name="ORIGEN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E0CE9-49CD-4477-804C-9F4F0BD2025B}">
  <sheetPr codeName="Hoja2"/>
  <dimension ref="A1:AC41"/>
  <sheetViews>
    <sheetView showGridLines="0" showRowColHeaders="0" view="pageLayout" zoomScaleNormal="115" zoomScaleSheetLayoutView="100" workbookViewId="0">
      <selection activeCell="A6" sqref="A6:D6"/>
    </sheetView>
  </sheetViews>
  <sheetFormatPr baseColWidth="10" defaultColWidth="0" defaultRowHeight="0" customHeight="1" zeroHeight="1" x14ac:dyDescent="0.3"/>
  <cols>
    <col min="1" max="19" width="3.6640625" style="13" customWidth="1"/>
    <col min="20" max="20" width="4.33203125" style="13" customWidth="1"/>
    <col min="21" max="25" width="3.6640625" style="13" customWidth="1"/>
    <col min="26" max="29" width="0" style="13" hidden="1" customWidth="1"/>
    <col min="30" max="16384" width="11.5546875" style="13" hidden="1"/>
  </cols>
  <sheetData>
    <row r="1" spans="1:24" ht="42" customHeight="1" x14ac:dyDescent="0.55000000000000004">
      <c r="A1" s="61" t="s">
        <v>103</v>
      </c>
    </row>
    <row r="2" spans="1:24" ht="19.5" customHeight="1" x14ac:dyDescent="0.3">
      <c r="S2" s="12" t="s">
        <v>0</v>
      </c>
      <c r="T2" s="119"/>
      <c r="U2" s="120"/>
      <c r="V2" s="120"/>
      <c r="W2" s="120"/>
      <c r="X2" s="121"/>
    </row>
    <row r="3" spans="1:24" ht="19.5" customHeight="1" x14ac:dyDescent="0.3">
      <c r="S3" s="12" t="s">
        <v>57</v>
      </c>
      <c r="T3" s="122"/>
      <c r="U3" s="123"/>
      <c r="V3" s="123"/>
      <c r="W3" s="123"/>
      <c r="X3" s="124"/>
    </row>
    <row r="4" spans="1:24" ht="24" customHeight="1" x14ac:dyDescent="0.3">
      <c r="A4" s="77" t="s">
        <v>56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9"/>
    </row>
    <row r="5" spans="1:24" customFormat="1" ht="9.75" customHeight="1" x14ac:dyDescent="0.3">
      <c r="A5" s="30"/>
      <c r="X5" s="31"/>
    </row>
    <row r="6" spans="1:24" s="15" customFormat="1" ht="33" customHeight="1" x14ac:dyDescent="0.3">
      <c r="A6" s="126" t="s">
        <v>40</v>
      </c>
      <c r="B6" s="127"/>
      <c r="C6" s="127"/>
      <c r="D6" s="127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9"/>
    </row>
    <row r="7" spans="1:24" ht="27.75" customHeight="1" x14ac:dyDescent="0.3">
      <c r="A7" s="126" t="s">
        <v>1</v>
      </c>
      <c r="B7" s="127"/>
      <c r="C7" s="127"/>
      <c r="D7" s="127"/>
      <c r="E7" s="125"/>
      <c r="F7" s="125"/>
      <c r="G7" s="125"/>
      <c r="H7" s="125"/>
      <c r="I7" s="125"/>
      <c r="J7" s="125"/>
      <c r="K7" s="125"/>
      <c r="M7" s="127" t="s">
        <v>58</v>
      </c>
      <c r="N7" s="127"/>
      <c r="O7" s="127"/>
      <c r="P7" s="127"/>
      <c r="Q7" s="125"/>
      <c r="R7" s="125"/>
      <c r="S7" s="125"/>
      <c r="T7" s="125"/>
      <c r="U7" s="125"/>
      <c r="V7" s="125"/>
      <c r="W7" s="125"/>
      <c r="X7" s="130"/>
    </row>
    <row r="8" spans="1:24" ht="27.75" customHeight="1" x14ac:dyDescent="0.4">
      <c r="A8" s="126" t="s">
        <v>59</v>
      </c>
      <c r="B8" s="127"/>
      <c r="C8" s="127"/>
      <c r="D8" s="127"/>
      <c r="E8" s="125"/>
      <c r="F8" s="125"/>
      <c r="G8" s="125"/>
      <c r="H8" s="125"/>
      <c r="I8" s="125"/>
      <c r="J8" s="125"/>
      <c r="K8" s="125"/>
      <c r="L8" s="16"/>
      <c r="M8" s="127" t="s">
        <v>62</v>
      </c>
      <c r="N8" s="127"/>
      <c r="O8" s="127"/>
      <c r="P8" s="127"/>
      <c r="Q8" s="131"/>
      <c r="R8" s="131"/>
      <c r="S8" s="131"/>
      <c r="T8" s="131"/>
      <c r="U8" s="131"/>
      <c r="V8" s="131"/>
      <c r="W8" s="131"/>
      <c r="X8" s="132"/>
    </row>
    <row r="9" spans="1:24" ht="16.5" customHeight="1" x14ac:dyDescent="0.4">
      <c r="A9" s="24"/>
      <c r="B9" s="25"/>
      <c r="C9" s="25"/>
      <c r="D9" s="25"/>
      <c r="E9" s="26"/>
      <c r="F9" s="26"/>
      <c r="G9" s="26"/>
      <c r="H9" s="26"/>
      <c r="I9" s="26"/>
      <c r="J9" s="26"/>
      <c r="K9" s="26"/>
      <c r="L9" s="27"/>
      <c r="M9" s="25"/>
      <c r="N9" s="25"/>
      <c r="O9" s="25"/>
      <c r="P9" s="25"/>
      <c r="Q9" s="28"/>
      <c r="R9" s="28"/>
      <c r="S9" s="28"/>
      <c r="T9" s="28"/>
      <c r="U9" s="28"/>
      <c r="V9" s="28"/>
      <c r="W9" s="28"/>
      <c r="X9" s="29"/>
    </row>
    <row r="10" spans="1:24" ht="4.5" customHeight="1" x14ac:dyDescent="0.4">
      <c r="A10" s="14"/>
      <c r="B10" s="14"/>
      <c r="C10" s="14"/>
      <c r="D10" s="14"/>
      <c r="E10" s="22"/>
      <c r="F10" s="22"/>
      <c r="G10" s="22"/>
      <c r="H10" s="22"/>
      <c r="I10" s="22"/>
      <c r="J10" s="22"/>
      <c r="K10" s="22"/>
      <c r="L10" s="16"/>
      <c r="M10" s="14"/>
      <c r="N10" s="14"/>
      <c r="O10" s="14"/>
      <c r="P10" s="14"/>
      <c r="Q10" s="23"/>
      <c r="R10" s="23"/>
      <c r="S10" s="23"/>
      <c r="T10" s="23"/>
      <c r="U10" s="23"/>
      <c r="V10" s="23"/>
      <c r="W10" s="23"/>
      <c r="X10" s="23"/>
    </row>
    <row r="11" spans="1:24" ht="24" customHeight="1" x14ac:dyDescent="0.3">
      <c r="A11" s="77" t="s">
        <v>66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9"/>
    </row>
    <row r="12" spans="1:24" ht="96.75" customHeight="1" x14ac:dyDescent="0.3">
      <c r="A12" s="83"/>
      <c r="B12" s="84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5"/>
    </row>
    <row r="13" spans="1:24" ht="4.5" customHeight="1" x14ac:dyDescent="0.3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</row>
    <row r="14" spans="1:24" ht="19.95" customHeight="1" x14ac:dyDescent="0.3">
      <c r="A14" s="86" t="s">
        <v>74</v>
      </c>
      <c r="B14" s="87"/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8"/>
    </row>
    <row r="15" spans="1:24" ht="100.5" customHeight="1" x14ac:dyDescent="0.3">
      <c r="A15" s="83"/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5"/>
    </row>
    <row r="16" spans="1:24" ht="4.5" customHeight="1" x14ac:dyDescent="0.3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</row>
    <row r="17" spans="1:24" ht="18" customHeight="1" x14ac:dyDescent="0.3">
      <c r="A17" s="80" t="s">
        <v>75</v>
      </c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2"/>
      <c r="M17" s="80" t="s">
        <v>76</v>
      </c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2"/>
    </row>
    <row r="18" spans="1:24" ht="15" customHeight="1" x14ac:dyDescent="0.3">
      <c r="A18" s="113"/>
      <c r="B18" s="114"/>
      <c r="C18" s="114"/>
      <c r="D18" s="114"/>
      <c r="E18" s="114"/>
      <c r="F18" s="114"/>
      <c r="G18" s="114"/>
      <c r="H18" s="114"/>
      <c r="I18" s="114"/>
      <c r="J18" s="114"/>
      <c r="K18" s="114"/>
      <c r="L18" s="115"/>
      <c r="M18" s="101" t="s">
        <v>2</v>
      </c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3"/>
    </row>
    <row r="19" spans="1:24" ht="15" customHeight="1" x14ac:dyDescent="0.3">
      <c r="A19" s="116"/>
      <c r="B19" s="117"/>
      <c r="C19" s="117"/>
      <c r="D19" s="117"/>
      <c r="E19" s="117"/>
      <c r="F19" s="117"/>
      <c r="G19" s="117"/>
      <c r="H19" s="117"/>
      <c r="I19" s="117"/>
      <c r="J19" s="117"/>
      <c r="K19" s="117"/>
      <c r="L19" s="118"/>
      <c r="M19" s="104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6"/>
    </row>
    <row r="20" spans="1:24" ht="15" customHeight="1" x14ac:dyDescent="0.3">
      <c r="A20" s="116"/>
      <c r="B20" s="117"/>
      <c r="C20" s="117"/>
      <c r="D20" s="117"/>
      <c r="E20" s="117"/>
      <c r="F20" s="117"/>
      <c r="G20" s="117"/>
      <c r="H20" s="117"/>
      <c r="I20" s="117"/>
      <c r="J20" s="117"/>
      <c r="K20" s="117"/>
      <c r="L20" s="118"/>
      <c r="M20" s="107" t="s">
        <v>50</v>
      </c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9"/>
    </row>
    <row r="21" spans="1:24" ht="15" customHeight="1" x14ac:dyDescent="0.3">
      <c r="A21" s="116"/>
      <c r="B21" s="117"/>
      <c r="C21" s="117"/>
      <c r="D21" s="117"/>
      <c r="E21" s="117"/>
      <c r="F21" s="117"/>
      <c r="G21" s="117"/>
      <c r="H21" s="117"/>
      <c r="I21" s="117"/>
      <c r="J21" s="117"/>
      <c r="K21" s="117"/>
      <c r="L21" s="118"/>
      <c r="M21" s="110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2"/>
    </row>
    <row r="22" spans="1:24" ht="15" customHeight="1" x14ac:dyDescent="0.3">
      <c r="A22" s="116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8"/>
      <c r="M22" s="110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2"/>
    </row>
    <row r="23" spans="1:24" ht="15" customHeight="1" x14ac:dyDescent="0.3">
      <c r="A23" s="83"/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5"/>
      <c r="M23" s="104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6"/>
    </row>
    <row r="24" spans="1:24" ht="2.25" customHeight="1" x14ac:dyDescent="0.3">
      <c r="A24" s="17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9"/>
    </row>
    <row r="25" spans="1:24" ht="15" customHeight="1" x14ac:dyDescent="0.3">
      <c r="A25" s="80" t="s">
        <v>77</v>
      </c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</row>
    <row r="26" spans="1:24" ht="40.950000000000003" customHeight="1" x14ac:dyDescent="0.3">
      <c r="A26" s="89" t="s">
        <v>47</v>
      </c>
      <c r="B26" s="90"/>
      <c r="C26" s="90"/>
      <c r="D26" s="90"/>
      <c r="E26" s="90"/>
      <c r="F26" s="90"/>
      <c r="G26" s="90"/>
      <c r="H26" s="91"/>
      <c r="I26" s="92" t="s">
        <v>35</v>
      </c>
      <c r="J26" s="90"/>
      <c r="K26" s="90"/>
      <c r="L26" s="90"/>
      <c r="M26" s="90"/>
      <c r="N26" s="90"/>
      <c r="O26" s="90"/>
      <c r="P26" s="91"/>
      <c r="Q26" s="92" t="s">
        <v>48</v>
      </c>
      <c r="R26" s="93"/>
      <c r="S26" s="93"/>
      <c r="T26" s="93"/>
      <c r="U26" s="93"/>
      <c r="V26" s="93"/>
      <c r="W26" s="93"/>
      <c r="X26" s="94"/>
    </row>
    <row r="27" spans="1:24" ht="15" customHeight="1" x14ac:dyDescent="0.3">
      <c r="A27" s="95"/>
      <c r="B27" s="96"/>
      <c r="C27" s="96"/>
      <c r="D27" s="96"/>
      <c r="E27" s="96"/>
      <c r="F27" s="96"/>
      <c r="G27" s="96"/>
      <c r="H27" s="97"/>
      <c r="I27" s="95"/>
      <c r="J27" s="96"/>
      <c r="K27" s="96"/>
      <c r="L27" s="96"/>
      <c r="M27" s="96"/>
      <c r="N27" s="96"/>
      <c r="O27" s="96"/>
      <c r="P27" s="97"/>
      <c r="Q27" s="95"/>
      <c r="R27" s="96"/>
      <c r="S27" s="96"/>
      <c r="T27" s="96"/>
      <c r="U27" s="96"/>
      <c r="V27" s="96"/>
      <c r="W27" s="96"/>
      <c r="X27" s="97"/>
    </row>
    <row r="28" spans="1:24" ht="15" customHeight="1" x14ac:dyDescent="0.3">
      <c r="A28" s="98"/>
      <c r="B28" s="99"/>
      <c r="C28" s="99"/>
      <c r="D28" s="99"/>
      <c r="E28" s="99"/>
      <c r="F28" s="99"/>
      <c r="G28" s="99"/>
      <c r="H28" s="100"/>
      <c r="I28" s="98"/>
      <c r="J28" s="99"/>
      <c r="K28" s="99"/>
      <c r="L28" s="99"/>
      <c r="M28" s="99"/>
      <c r="N28" s="99"/>
      <c r="O28" s="99"/>
      <c r="P28" s="100"/>
      <c r="Q28" s="98"/>
      <c r="R28" s="99"/>
      <c r="S28" s="99"/>
      <c r="T28" s="99"/>
      <c r="U28" s="99"/>
      <c r="V28" s="99"/>
      <c r="W28" s="99"/>
      <c r="X28" s="100"/>
    </row>
    <row r="29" spans="1:24" ht="15" customHeight="1" x14ac:dyDescent="0.3"/>
    <row r="30" spans="1:24" ht="15" customHeight="1" x14ac:dyDescent="0.3"/>
    <row r="31" spans="1:24" ht="15" customHeight="1" x14ac:dyDescent="0.3"/>
    <row r="32" spans="1:24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  <row r="38" ht="15" customHeight="1" x14ac:dyDescent="0.3"/>
    <row r="39" ht="15" customHeight="1" x14ac:dyDescent="0.3"/>
    <row r="40" ht="15" customHeight="1" x14ac:dyDescent="0.3"/>
    <row r="41" ht="15" customHeight="1" x14ac:dyDescent="0.3"/>
  </sheetData>
  <sheetProtection algorithmName="SHA-512" hashValue="YL3hrhzt2idLqoGFKnhOGViWwkVhYG8wgScCunBYty1wLlt2WBn9uqQTyvsOdvKdS9bZZw+9OfoshfhZqsUBDg==" saltValue="SRqEk6+ElTmTBOm+pHGEJw==" spinCount="100000" sheet="1" objects="1" scenarios="1"/>
  <mergeCells count="33">
    <mergeCell ref="A8:D8"/>
    <mergeCell ref="E8:K8"/>
    <mergeCell ref="M8:P8"/>
    <mergeCell ref="Q8:X8"/>
    <mergeCell ref="A4:X4"/>
    <mergeCell ref="T2:X2"/>
    <mergeCell ref="T3:X3"/>
    <mergeCell ref="E7:K7"/>
    <mergeCell ref="A7:D7"/>
    <mergeCell ref="A6:D6"/>
    <mergeCell ref="E6:X6"/>
    <mergeCell ref="M7:P7"/>
    <mergeCell ref="Q7:X7"/>
    <mergeCell ref="A25:X25"/>
    <mergeCell ref="M18:X18"/>
    <mergeCell ref="M19:X19"/>
    <mergeCell ref="M20:X20"/>
    <mergeCell ref="M21:X21"/>
    <mergeCell ref="M22:X22"/>
    <mergeCell ref="M23:X23"/>
    <mergeCell ref="A18:L23"/>
    <mergeCell ref="A26:H26"/>
    <mergeCell ref="I26:P26"/>
    <mergeCell ref="Q26:X26"/>
    <mergeCell ref="A27:H28"/>
    <mergeCell ref="I27:P28"/>
    <mergeCell ref="Q27:X28"/>
    <mergeCell ref="A11:X11"/>
    <mergeCell ref="A17:L17"/>
    <mergeCell ref="M17:X17"/>
    <mergeCell ref="A12:X12"/>
    <mergeCell ref="A14:X14"/>
    <mergeCell ref="A15:X15"/>
  </mergeCells>
  <dataValidations count="5">
    <dataValidation type="date" allowBlank="1" showInputMessage="1" showErrorMessage="1" sqref="T3:X3" xr:uid="{69FBE8A3-41CE-41EA-BB21-DB39879B5902}">
      <formula1>TODAY()</formula1>
      <formula2>TODAY()+360</formula2>
    </dataValidation>
    <dataValidation type="list" allowBlank="1" showInputMessage="1" showErrorMessage="1" sqref="E8:K10" xr:uid="{E86ABCC7-C5A4-4D7D-9000-B6E3343881E8}">
      <formula1>INDIRECT("PER[periodos]")</formula1>
    </dataValidation>
    <dataValidation type="list" allowBlank="1" showInputMessage="1" showErrorMessage="1" sqref="E7:K7" xr:uid="{A491E4FF-BEF0-4F62-9D8E-B2EDCC5599CF}">
      <formula1>INDIRECT("ARE[Área]")</formula1>
    </dataValidation>
    <dataValidation type="list" allowBlank="1" showInputMessage="1" showErrorMessage="1" sqref="Q7:X7" xr:uid="{02787858-E743-4DEF-9791-4DDC57497958}">
      <formula1>INDIRECT("CAT[Categorias mejoras]")</formula1>
    </dataValidation>
    <dataValidation type="list" allowBlank="1" showInputMessage="1" showErrorMessage="1" sqref="Q8:X10" xr:uid="{136FFE85-71D3-4546-8CF2-69CE648FE6DA}">
      <formula1>INDIRECT("ORI[ORIGEN]")</formula1>
    </dataValidation>
  </dataValidations>
  <pageMargins left="0.76041666666666663" right="0.25" top="0.75" bottom="0.75" header="0.3" footer="0.3"/>
  <pageSetup orientation="portrait" r:id="rId1"/>
  <headerFooter>
    <oddHeader>&amp;R&amp;G</oddHeader>
    <oddFooter>&amp;L&amp;"-,Negrita"&amp;8Fecha Últ. Actualización:&amp;"-,Normal"
Mar-26&amp;C&amp;8SISTEMA DE GESTIÓN DE CALIDAD&amp;R&amp;"-,Negrita"&amp;8Clave:&amp;"-,Normal"
OOMRSC-21 Rev. 13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62E2C-D9B8-4E93-A019-4A534F0602DF}">
  <sheetPr codeName="Hoja5">
    <pageSetUpPr fitToPage="1"/>
  </sheetPr>
  <dimension ref="A1:M29"/>
  <sheetViews>
    <sheetView showGridLines="0" showRowColHeaders="0" view="pageLayout" zoomScaleNormal="60" workbookViewId="0">
      <selection activeCell="A16" sqref="A16"/>
    </sheetView>
  </sheetViews>
  <sheetFormatPr baseColWidth="10" defaultColWidth="0" defaultRowHeight="0" customHeight="1" zeroHeight="1" x14ac:dyDescent="0.35"/>
  <cols>
    <col min="1" max="1" width="51.6640625" style="33" customWidth="1"/>
    <col min="2" max="2" width="22.6640625" style="33" bestFit="1" customWidth="1"/>
    <col min="3" max="3" width="13.109375" style="33" customWidth="1"/>
    <col min="4" max="6" width="12.44140625" style="34" customWidth="1"/>
    <col min="7" max="7" width="25.33203125" style="34" customWidth="1"/>
    <col min="8" max="8" width="18.88671875" style="34" customWidth="1"/>
    <col min="9" max="9" width="11.109375" style="33" customWidth="1"/>
    <col min="10" max="16384" width="8.88671875" style="33" hidden="1"/>
  </cols>
  <sheetData>
    <row r="1" spans="1:13" ht="87.75" customHeight="1" x14ac:dyDescent="0.35">
      <c r="G1" s="40" t="s">
        <v>39</v>
      </c>
      <c r="H1" s="41" t="str">
        <f>IFERROR("OM#"&amp;REGISTRO!$T$2 &amp;"/" &amp;RIGHT(YEAR(REGISTRO!$T$3),2),"")</f>
        <v>OM#/00</v>
      </c>
    </row>
    <row r="2" spans="1:13" ht="29.25" customHeight="1" x14ac:dyDescent="0.35">
      <c r="A2" s="60" t="s">
        <v>83</v>
      </c>
      <c r="B2" s="133">
        <f>REGISTRO!$E$6</f>
        <v>0</v>
      </c>
      <c r="C2" s="133"/>
      <c r="D2" s="133"/>
      <c r="E2" s="133"/>
      <c r="F2" s="133"/>
      <c r="G2" s="42" t="s">
        <v>78</v>
      </c>
      <c r="H2" s="43">
        <f>WORKDAY(MAX(ACTIVIDADES7[Fecha de término])+3,2)</f>
        <v>5</v>
      </c>
      <c r="M2" s="35" t="s">
        <v>49</v>
      </c>
    </row>
    <row r="3" spans="1:13" ht="3.75" customHeight="1" x14ac:dyDescent="0.35">
      <c r="A3" s="11"/>
      <c r="B3" s="11"/>
      <c r="C3" s="11"/>
      <c r="D3" s="11"/>
      <c r="E3" s="11"/>
      <c r="F3" s="11"/>
      <c r="G3" s="11"/>
      <c r="H3" s="44"/>
      <c r="M3" s="35"/>
    </row>
    <row r="4" spans="1:13" ht="25.5" customHeight="1" x14ac:dyDescent="0.35">
      <c r="A4" s="36"/>
      <c r="B4"/>
      <c r="C4"/>
      <c r="D4"/>
      <c r="E4"/>
      <c r="F4"/>
      <c r="G4" s="47" t="s">
        <v>79</v>
      </c>
      <c r="H4" s="48">
        <f>WORKDAY(MAX(ACTIVIDADES7[1er. Replanteo])+3,2)</f>
        <v>5</v>
      </c>
      <c r="M4" s="35"/>
    </row>
    <row r="5" spans="1:13" ht="3.75" customHeight="1" x14ac:dyDescent="0.35">
      <c r="A5" s="37"/>
      <c r="B5" s="49"/>
      <c r="C5" s="50"/>
      <c r="D5" s="49"/>
      <c r="E5" s="50"/>
      <c r="F5" s="46"/>
      <c r="G5" s="47"/>
      <c r="H5" s="51"/>
      <c r="M5" s="35"/>
    </row>
    <row r="6" spans="1:13" ht="25.5" customHeight="1" x14ac:dyDescent="0.35">
      <c r="A6" s="11"/>
      <c r="B6" s="11"/>
      <c r="C6" s="11"/>
      <c r="D6" s="11"/>
      <c r="E6" s="11"/>
      <c r="F6" s="46"/>
      <c r="G6" s="47" t="s">
        <v>80</v>
      </c>
      <c r="H6" s="48">
        <f>WORKDAY(MAX(ACTIVIDADES7[2do. Replanteo])+3,2)</f>
        <v>5</v>
      </c>
      <c r="M6" s="35"/>
    </row>
    <row r="7" spans="1:13" ht="3.75" customHeight="1" x14ac:dyDescent="0.35">
      <c r="A7" s="52"/>
      <c r="B7" s="45"/>
      <c r="C7" s="50"/>
      <c r="D7" s="45"/>
      <c r="E7" s="50"/>
      <c r="F7" s="46"/>
      <c r="G7" s="47"/>
      <c r="H7" s="53"/>
      <c r="M7" s="35"/>
    </row>
    <row r="8" spans="1:13" ht="33.75" customHeight="1" x14ac:dyDescent="0.35">
      <c r="A8" s="74" t="s">
        <v>36</v>
      </c>
      <c r="B8" s="75" t="s">
        <v>37</v>
      </c>
      <c r="C8" s="75" t="s">
        <v>38</v>
      </c>
      <c r="D8" s="75" t="s">
        <v>41</v>
      </c>
      <c r="E8" s="75" t="s">
        <v>52</v>
      </c>
      <c r="F8" s="75" t="s">
        <v>53</v>
      </c>
      <c r="G8" s="75" t="s">
        <v>81</v>
      </c>
      <c r="H8" s="75" t="s">
        <v>82</v>
      </c>
    </row>
    <row r="9" spans="1:13" s="39" customFormat="1" ht="45" customHeight="1" x14ac:dyDescent="0.35">
      <c r="A9" s="76"/>
      <c r="B9" s="69"/>
      <c r="C9" s="70" t="str" cm="1">
        <f t="array" aca="1" ref="C9" ca="1">IFERROR(IF(ACTIVIDADES7[[#This Row],[Fecha de término]]="","",_xlfn.IFS(ACTIVIDADES7[[#This Row],[Resultado Verificado (Auditor)]]="✔️",1,ACTIVIDADES7[[#This Row],[Fecha de término]]&gt;TODAY(),DATEDIF(REGISTRO!$T$3,TODAY(),"D")/DATEDIF(REGISTRO!$T$3,ACTIVIDADES7[[#This Row],[Fecha de término]],"D"),ACTIVIDADES7[[#This Row],[1er. Replanteo]]&gt;TODAY(),DATEDIF(REGISTRO!$T$3,TODAY(),"D")/DATEDIF(REGISTRO!$T$3,ACTIVIDADES7[[#This Row],[1er. Replanteo]],"D"),ACTIVIDADES7[[#This Row],[2do. Replanteo]]&gt;TODAY(),DATEDIF(REGISTRO!$T$3,TODAY(),"D")/DATEDIF(REGISTRO!$T$3,ACTIVIDADES7[[#This Row],[2do. Replanteo]],"D"))),"Actividad para revisión")</f>
        <v/>
      </c>
      <c r="D9" s="71"/>
      <c r="E9" s="71"/>
      <c r="F9" s="71"/>
      <c r="G9" s="72"/>
      <c r="H9" s="73"/>
      <c r="I9" s="38"/>
    </row>
    <row r="10" spans="1:13" s="39" customFormat="1" ht="45" customHeight="1" x14ac:dyDescent="0.3">
      <c r="A10" s="76"/>
      <c r="B10" s="67"/>
      <c r="C10" s="63" t="str" cm="1">
        <f t="array" aca="1" ref="C10" ca="1">IFERROR(IF(ACTIVIDADES7[[#This Row],[Fecha de término]]="","",_xlfn.IFS(ACTIVIDADES7[[#This Row],[Resultado Verificado (Auditor)]]="✔️",1,ACTIVIDADES7[[#This Row],[Fecha de término]]&gt;TODAY(),DATEDIF(REGISTRO!$T$3,TODAY(),"D")/DATEDIF(REGISTRO!$T$3,ACTIVIDADES7[[#This Row],[Fecha de término]],"D"),ACTIVIDADES7[[#This Row],[1er. Replanteo]]&gt;TODAY(),DATEDIF(REGISTRO!$T$3,TODAY(),"D")/DATEDIF(REGISTRO!$T$3,ACTIVIDADES7[[#This Row],[1er. Replanteo]],"D"),ACTIVIDADES7[[#This Row],[2do. Replanteo]]&gt;TODAY(),DATEDIF(REGISTRO!$T$3,TODAY(),"D")/DATEDIF(REGISTRO!$T$3,ACTIVIDADES7[[#This Row],[2do. Replanteo]],"D"))),"Actividad para revisión")</f>
        <v/>
      </c>
      <c r="D10" s="64"/>
      <c r="E10" s="64"/>
      <c r="F10" s="64"/>
      <c r="G10" s="65"/>
      <c r="H10" s="66"/>
    </row>
    <row r="11" spans="1:13" s="39" customFormat="1" ht="45" customHeight="1" x14ac:dyDescent="0.35">
      <c r="A11" s="76"/>
      <c r="B11" s="67"/>
      <c r="C11" s="63" t="str" cm="1">
        <f t="array" aca="1" ref="C11" ca="1">IFERROR(IF(ACTIVIDADES7[[#This Row],[Fecha de término]]="","",_xlfn.IFS(ACTIVIDADES7[[#This Row],[Resultado Verificado (Auditor)]]="✔️",1,ACTIVIDADES7[[#This Row],[Fecha de término]]&gt;TODAY(),DATEDIF(REGISTRO!$T$3,TODAY(),"D")/DATEDIF(REGISTRO!$T$3,ACTIVIDADES7[[#This Row],[Fecha de término]],"D"),ACTIVIDADES7[[#This Row],[1er. Replanteo]]&gt;TODAY(),DATEDIF(REGISTRO!$T$3,TODAY(),"D")/DATEDIF(REGISTRO!$T$3,ACTIVIDADES7[[#This Row],[1er. Replanteo]],"D"),ACTIVIDADES7[[#This Row],[2do. Replanteo]]&gt;TODAY(),DATEDIF(REGISTRO!$T$3,TODAY(),"D")/DATEDIF(REGISTRO!$T$3,ACTIVIDADES7[[#This Row],[2do. Replanteo]],"D"))),"Actividad para revisión")</f>
        <v/>
      </c>
      <c r="D11" s="64"/>
      <c r="E11" s="64"/>
      <c r="F11" s="64"/>
      <c r="G11" s="65"/>
      <c r="H11" s="66"/>
      <c r="I11" s="38"/>
    </row>
    <row r="12" spans="1:13" s="39" customFormat="1" ht="45" customHeight="1" x14ac:dyDescent="0.35">
      <c r="A12" s="76"/>
      <c r="B12" s="67"/>
      <c r="C12" s="63" t="str" cm="1">
        <f t="array" aca="1" ref="C12" ca="1">IFERROR(IF(ACTIVIDADES7[[#This Row],[Fecha de término]]="","",_xlfn.IFS(ACTIVIDADES7[[#This Row],[Resultado Verificado (Auditor)]]="✔️",1,ACTIVIDADES7[[#This Row],[Fecha de término]]&gt;TODAY(),DATEDIF(REGISTRO!$T$3,TODAY(),"D")/DATEDIF(REGISTRO!$T$3,ACTIVIDADES7[[#This Row],[Fecha de término]],"D"),ACTIVIDADES7[[#This Row],[1er. Replanteo]]&gt;TODAY(),DATEDIF(REGISTRO!$T$3,TODAY(),"D")/DATEDIF(REGISTRO!$T$3,ACTIVIDADES7[[#This Row],[1er. Replanteo]],"D"),ACTIVIDADES7[[#This Row],[2do. Replanteo]]&gt;TODAY(),DATEDIF(REGISTRO!$T$3,TODAY(),"D")/DATEDIF(REGISTRO!$T$3,ACTIVIDADES7[[#This Row],[2do. Replanteo]],"D"))),"Actividad para revisión")</f>
        <v/>
      </c>
      <c r="D12" s="64"/>
      <c r="E12" s="64"/>
      <c r="F12" s="64"/>
      <c r="G12" s="65"/>
      <c r="H12" s="66"/>
      <c r="I12" s="38"/>
    </row>
    <row r="13" spans="1:13" s="39" customFormat="1" ht="45" customHeight="1" x14ac:dyDescent="0.35">
      <c r="A13" s="76"/>
      <c r="B13" s="67"/>
      <c r="C13" s="63" t="str" cm="1">
        <f t="array" aca="1" ref="C13" ca="1">IFERROR(IF(ACTIVIDADES7[[#This Row],[Fecha de término]]="","",_xlfn.IFS(ACTIVIDADES7[[#This Row],[Resultado Verificado (Auditor)]]="✔️",1,ACTIVIDADES7[[#This Row],[Fecha de término]]&gt;TODAY(),DATEDIF(REGISTRO!$T$3,TODAY(),"D")/DATEDIF(REGISTRO!$T$3,ACTIVIDADES7[[#This Row],[Fecha de término]],"D"),ACTIVIDADES7[[#This Row],[1er. Replanteo]]&gt;TODAY(),DATEDIF(REGISTRO!$T$3,TODAY(),"D")/DATEDIF(REGISTRO!$T$3,ACTIVIDADES7[[#This Row],[1er. Replanteo]],"D"),ACTIVIDADES7[[#This Row],[2do. Replanteo]]&gt;TODAY(),DATEDIF(REGISTRO!$T$3,TODAY(),"D")/DATEDIF(REGISTRO!$T$3,ACTIVIDADES7[[#This Row],[2do. Replanteo]],"D"))),"Actividad para revisión")</f>
        <v/>
      </c>
      <c r="D13" s="64"/>
      <c r="E13" s="64"/>
      <c r="F13" s="64"/>
      <c r="G13" s="65"/>
      <c r="H13" s="66"/>
      <c r="I13" s="38"/>
    </row>
    <row r="14" spans="1:13" ht="45" customHeight="1" x14ac:dyDescent="0.35">
      <c r="A14" s="76"/>
      <c r="B14" s="68"/>
      <c r="C14" s="63" t="str" cm="1">
        <f t="array" aca="1" ref="C14" ca="1">IFERROR(IF(ACTIVIDADES7[[#This Row],[Fecha de término]]="","",_xlfn.IFS(ACTIVIDADES7[[#This Row],[Resultado Verificado (Auditor)]]="✔️",1,ACTIVIDADES7[[#This Row],[Fecha de término]]&gt;TODAY(),DATEDIF(REGISTRO!$T$3,TODAY(),"D")/DATEDIF(REGISTRO!$T$3,ACTIVIDADES7[[#This Row],[Fecha de término]],"D"),ACTIVIDADES7[[#This Row],[1er. Replanteo]]&gt;TODAY(),DATEDIF(REGISTRO!$T$3,TODAY(),"D")/DATEDIF(REGISTRO!$T$3,ACTIVIDADES7[[#This Row],[1er. Replanteo]],"D"),ACTIVIDADES7[[#This Row],[2do. Replanteo]]&gt;TODAY(),DATEDIF(REGISTRO!$T$3,TODAY(),"D")/DATEDIF(REGISTRO!$T$3,ACTIVIDADES7[[#This Row],[2do. Replanteo]],"D"))),"Actividad para revisión")</f>
        <v/>
      </c>
      <c r="D14" s="64"/>
      <c r="E14" s="64"/>
      <c r="F14" s="64"/>
      <c r="G14" s="65"/>
      <c r="H14" s="66"/>
    </row>
    <row r="15" spans="1:13" ht="45" customHeight="1" x14ac:dyDescent="0.35">
      <c r="A15" s="76"/>
      <c r="B15" s="68"/>
      <c r="C15" s="63" t="str" cm="1">
        <f t="array" aca="1" ref="C15" ca="1">IFERROR(IF(ACTIVIDADES7[[#This Row],[Fecha de término]]="","",_xlfn.IFS(ACTIVIDADES7[[#This Row],[Resultado Verificado (Auditor)]]="✔️",1,ACTIVIDADES7[[#This Row],[Fecha de término]]&gt;TODAY(),DATEDIF(REGISTRO!$T$3,TODAY(),"D")/DATEDIF(REGISTRO!$T$3,ACTIVIDADES7[[#This Row],[Fecha de término]],"D"),ACTIVIDADES7[[#This Row],[1er. Replanteo]]&gt;TODAY(),DATEDIF(REGISTRO!$T$3,TODAY(),"D")/DATEDIF(REGISTRO!$T$3,ACTIVIDADES7[[#This Row],[1er. Replanteo]],"D"),ACTIVIDADES7[[#This Row],[2do. Replanteo]]&gt;TODAY(),DATEDIF(REGISTRO!$T$3,TODAY(),"D")/DATEDIF(REGISTRO!$T$3,ACTIVIDADES7[[#This Row],[2do. Replanteo]],"D"))),"Actividad para revisión")</f>
        <v/>
      </c>
      <c r="D15" s="64"/>
      <c r="E15" s="64"/>
      <c r="F15" s="64"/>
      <c r="G15" s="65"/>
      <c r="H15" s="66"/>
    </row>
    <row r="16" spans="1:13" ht="45" customHeight="1" x14ac:dyDescent="0.35">
      <c r="A16" s="76"/>
      <c r="B16" s="68"/>
      <c r="C16" s="63" t="str" cm="1">
        <f t="array" aca="1" ref="C16" ca="1">IFERROR(IF(ACTIVIDADES7[[#This Row],[Fecha de término]]="","",_xlfn.IFS(ACTIVIDADES7[[#This Row],[Resultado Verificado (Auditor)]]="✔️",1,ACTIVIDADES7[[#This Row],[Fecha de término]]&gt;TODAY(),DATEDIF(REGISTRO!$T$3,TODAY(),"D")/DATEDIF(REGISTRO!$T$3,ACTIVIDADES7[[#This Row],[Fecha de término]],"D"),ACTIVIDADES7[[#This Row],[1er. Replanteo]]&gt;TODAY(),DATEDIF(REGISTRO!$T$3,TODAY(),"D")/DATEDIF(REGISTRO!$T$3,ACTIVIDADES7[[#This Row],[1er. Replanteo]],"D"),ACTIVIDADES7[[#This Row],[2do. Replanteo]]&gt;TODAY(),DATEDIF(REGISTRO!$T$3,TODAY(),"D")/DATEDIF(REGISTRO!$T$3,ACTIVIDADES7[[#This Row],[2do. Replanteo]],"D"))),"Actividad para revisión")</f>
        <v/>
      </c>
      <c r="D16" s="64"/>
      <c r="E16" s="64"/>
      <c r="F16" s="64"/>
      <c r="G16" s="65"/>
      <c r="H16" s="66"/>
    </row>
    <row r="17" spans="1:7" ht="30" customHeight="1" x14ac:dyDescent="0.35">
      <c r="A17" s="33" t="str" cm="1">
        <f t="array" aca="1" ref="A17" ca="1">IFERROR(IF(Fecha_término="","",(IF(TODAY()&gt;=Fecha_término,1,IF(((DATEDIF(Fecha_Inicio,TODAY(),"D"))/DATEDIF(Fecha_Inicio,Fecha_término,"D"))&gt;100,1,((DATEDIF(Fecha_Inicio,TODAY(),"D"))/DATEDIF(Fecha_Inicio,Fecha_término,"D")))))),"")</f>
        <v/>
      </c>
      <c r="G17" s="62"/>
    </row>
    <row r="25" spans="1:7" ht="30" customHeight="1" x14ac:dyDescent="0.35"/>
    <row r="26" spans="1:7" ht="30" customHeight="1" x14ac:dyDescent="0.35"/>
    <row r="27" spans="1:7" ht="30" customHeight="1" x14ac:dyDescent="0.35"/>
    <row r="28" spans="1:7" ht="30" customHeight="1" x14ac:dyDescent="0.35"/>
    <row r="29" spans="1:7" ht="30" customHeight="1" x14ac:dyDescent="0.35"/>
  </sheetData>
  <sheetProtection algorithmName="SHA-512" hashValue="d7NhM9WCR/Gi3ktteMH9ct2pmirfCPozDpIfwnCBLb8WNBgnmfjFUQyu+16AOWqGQIIulD3lMeY2h4jcHlj6IA==" saltValue="wAoV9cwvmmlmi3qp+D47dQ==" spinCount="100000" sheet="1" objects="1" scenarios="1" insertColumns="0" insertRows="0"/>
  <dataConsolidate/>
  <mergeCells count="1">
    <mergeCell ref="B2:F2"/>
  </mergeCells>
  <conditionalFormatting sqref="B2:F2">
    <cfRule type="cellIs" dxfId="10" priority="1" operator="equal">
      <formula>0</formula>
    </cfRule>
  </conditionalFormatting>
  <conditionalFormatting sqref="C9:C16">
    <cfRule type="cellIs" dxfId="9" priority="9" operator="equal">
      <formula>"Actividad para revisión"</formula>
    </cfRule>
    <cfRule type="expression" dxfId="8" priority="10">
      <formula>$H9="✔️"</formula>
    </cfRule>
    <cfRule type="colorScale" priority="11">
      <colorScale>
        <cfvo type="num" val="0"/>
        <cfvo type="num" val="0.5"/>
        <cfvo type="num" val="0.99"/>
        <color rgb="FF00B050"/>
        <color rgb="FFFFC000"/>
        <color rgb="FFFF0000"/>
      </colorScale>
    </cfRule>
  </conditionalFormatting>
  <conditionalFormatting sqref="H1">
    <cfRule type="cellIs" dxfId="7" priority="2" operator="equal">
      <formula>"OM#/00"</formula>
    </cfRule>
    <cfRule type="cellIs" dxfId="6" priority="4" operator="equal">
      <formula>"AC#/00"</formula>
    </cfRule>
  </conditionalFormatting>
  <conditionalFormatting sqref="H2">
    <cfRule type="cellIs" dxfId="5" priority="3" operator="equal">
      <formula>5</formula>
    </cfRule>
  </conditionalFormatting>
  <conditionalFormatting sqref="H4">
    <cfRule type="cellIs" dxfId="4" priority="7" operator="equal">
      <formula>5</formula>
    </cfRule>
    <cfRule type="cellIs" dxfId="3" priority="8" operator="equal">
      <formula>0</formula>
    </cfRule>
  </conditionalFormatting>
  <conditionalFormatting sqref="H6">
    <cfRule type="cellIs" dxfId="2" priority="5" operator="equal">
      <formula>5</formula>
    </cfRule>
    <cfRule type="cellIs" dxfId="1" priority="6" operator="equal">
      <formula>0</formula>
    </cfRule>
  </conditionalFormatting>
  <dataValidations disablePrompts="1" count="2">
    <dataValidation allowBlank="1" showInputMessage="1" showErrorMessage="1" sqref="C9:C16" xr:uid="{7BCF9C38-E18A-4E92-A445-54A4748FA91F}"/>
    <dataValidation type="list" allowBlank="1" showInputMessage="1" showErrorMessage="1" sqref="H9:H16" xr:uid="{D9825E58-81CF-44B2-AFCF-CD7C402AA846}">
      <formula1>IF(D9="","",Lista_Verificación)</formula1>
    </dataValidation>
  </dataValidations>
  <printOptions horizontalCentered="1"/>
  <pageMargins left="0.23622047244094491" right="0.23622047244094491" top="0.51181102362204722" bottom="0.51181102362204722" header="0.31496062992125984" footer="0.31496062992125984"/>
  <pageSetup paperSize="9" scale="84" orientation="landscape" r:id="rId1"/>
  <headerFooter differentFirst="1" scaleWithDoc="0">
    <oddFooter>Page &amp;P of &amp;N</oddFooter>
    <firstHeader>&amp;L&amp;"-,Negrita"&amp;22
 PLAN DE MEJORA&amp;C&amp;G</firstHeader>
    <firstFooter>&amp;L&amp;"Segoe UI,Negrita"&amp;8Fecha Últ. Actualización:
&amp;"Segoe UI,Normal"Mar-26&amp;C&amp;"Segoe UI,Normal"&amp;8SISTEMA DE GESTIÓN DE CALIDAD&amp;R&amp;"Segoe UI,Negrita"&amp;8Clave:
&amp;"Segoe UI,Normal"OOMRSC-21 Rev. 13</firstFooter>
  </headerFooter>
  <legacyDrawingHF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15588-A501-4F1C-92DA-CFFA4DBB2B7A}">
  <sheetPr codeName="Hoja6"/>
  <dimension ref="B2:B17"/>
  <sheetViews>
    <sheetView showGridLines="0" view="pageLayout" zoomScaleNormal="100" workbookViewId="0">
      <selection activeCell="B8" sqref="B8"/>
    </sheetView>
  </sheetViews>
  <sheetFormatPr baseColWidth="10" defaultColWidth="7" defaultRowHeight="16.8" x14ac:dyDescent="0.4"/>
  <cols>
    <col min="1" max="1" width="7" style="16"/>
    <col min="2" max="2" width="89.44140625" style="16" customWidth="1"/>
    <col min="3" max="16384" width="7" style="16"/>
  </cols>
  <sheetData>
    <row r="2" spans="2:2" ht="27" x14ac:dyDescent="0.6">
      <c r="B2" s="59" t="s">
        <v>102</v>
      </c>
    </row>
    <row r="3" spans="2:2" ht="20.399999999999999" x14ac:dyDescent="0.45">
      <c r="B3" s="55"/>
    </row>
    <row r="4" spans="2:2" s="58" customFormat="1" ht="24" customHeight="1" x14ac:dyDescent="0.55000000000000004">
      <c r="B4" s="57" t="s">
        <v>92</v>
      </c>
    </row>
    <row r="5" spans="2:2" ht="67.2" x14ac:dyDescent="0.4">
      <c r="B5" s="56" t="s">
        <v>93</v>
      </c>
    </row>
    <row r="7" spans="2:2" s="58" customFormat="1" ht="24" customHeight="1" x14ac:dyDescent="0.55000000000000004">
      <c r="B7" s="57" t="s">
        <v>94</v>
      </c>
    </row>
    <row r="8" spans="2:2" ht="67.2" x14ac:dyDescent="0.4">
      <c r="B8" s="56" t="s">
        <v>95</v>
      </c>
    </row>
    <row r="10" spans="2:2" s="58" customFormat="1" ht="24" customHeight="1" x14ac:dyDescent="0.55000000000000004">
      <c r="B10" s="57" t="s">
        <v>96</v>
      </c>
    </row>
    <row r="11" spans="2:2" ht="50.4" x14ac:dyDescent="0.4">
      <c r="B11" s="56" t="s">
        <v>97</v>
      </c>
    </row>
    <row r="13" spans="2:2" s="58" customFormat="1" ht="24" customHeight="1" x14ac:dyDescent="0.55000000000000004">
      <c r="B13" s="57" t="s">
        <v>98</v>
      </c>
    </row>
    <row r="14" spans="2:2" ht="50.4" x14ac:dyDescent="0.4">
      <c r="B14" s="56" t="s">
        <v>99</v>
      </c>
    </row>
    <row r="16" spans="2:2" s="58" customFormat="1" ht="24" customHeight="1" x14ac:dyDescent="0.55000000000000004">
      <c r="B16" s="57" t="s">
        <v>100</v>
      </c>
    </row>
    <row r="17" spans="2:2" ht="67.2" x14ac:dyDescent="0.4">
      <c r="B17" s="56" t="s">
        <v>101</v>
      </c>
    </row>
  </sheetData>
  <sheetProtection algorithmName="SHA-512" hashValue="AvZ0LruOktJ1P+85zlUncUYnW/wCyrG8B5CTIFHEM4vB+Vudssr9rbppQBbiRI3mmTF8bFac66PfgQ28QH8QPg==" saltValue="ySqXgrBnSqCJgvglNoIA6Q==" spinCount="100000" sheet="1" objects="1" scenarios="1"/>
  <pageMargins left="0.25" right="0.25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E4531-4422-422C-87C8-9FC247670E8F}">
  <sheetPr codeName="Hoja3"/>
  <dimension ref="A1:I41"/>
  <sheetViews>
    <sheetView tabSelected="1" workbookViewId="0">
      <selection activeCell="I3" sqref="I3"/>
    </sheetView>
  </sheetViews>
  <sheetFormatPr baseColWidth="10" defaultRowHeight="14.4" x14ac:dyDescent="0.3"/>
  <cols>
    <col min="1" max="1" width="50.88671875" customWidth="1"/>
    <col min="3" max="3" width="51.6640625" bestFit="1" customWidth="1"/>
    <col min="5" max="5" width="17.5546875" customWidth="1"/>
  </cols>
  <sheetData>
    <row r="1" spans="1:9" x14ac:dyDescent="0.3">
      <c r="A1" t="s">
        <v>33</v>
      </c>
      <c r="C1" t="s">
        <v>61</v>
      </c>
      <c r="E1" t="s">
        <v>60</v>
      </c>
      <c r="I1" s="20" t="s">
        <v>63</v>
      </c>
    </row>
    <row r="2" spans="1:9" x14ac:dyDescent="0.3">
      <c r="A2" s="54" t="s">
        <v>24</v>
      </c>
      <c r="C2" s="54" t="s">
        <v>84</v>
      </c>
      <c r="E2" t="s">
        <v>89</v>
      </c>
      <c r="G2" t="str" cm="1">
        <f t="array" aca="1" ref="G2:G3" ca="1">INDIRECT("ORI[ORIGEN]")</f>
        <v>Objetivo de Calidad</v>
      </c>
      <c r="I2" s="21" t="s">
        <v>64</v>
      </c>
    </row>
    <row r="3" spans="1:9" x14ac:dyDescent="0.3">
      <c r="A3" s="54" t="s">
        <v>25</v>
      </c>
      <c r="C3" s="54" t="s">
        <v>85</v>
      </c>
      <c r="E3" t="s">
        <v>90</v>
      </c>
      <c r="G3" t="str">
        <f ca="1"/>
        <v>Auditoría interna</v>
      </c>
      <c r="I3" s="21" t="s">
        <v>65</v>
      </c>
    </row>
    <row r="4" spans="1:9" x14ac:dyDescent="0.3">
      <c r="A4" s="54" t="s">
        <v>26</v>
      </c>
      <c r="C4" s="54" t="s">
        <v>86</v>
      </c>
      <c r="E4" t="s">
        <v>91</v>
      </c>
      <c r="I4" s="21"/>
    </row>
    <row r="5" spans="1:9" x14ac:dyDescent="0.3">
      <c r="A5" s="54" t="s">
        <v>23</v>
      </c>
      <c r="C5" t="s">
        <v>87</v>
      </c>
    </row>
    <row r="6" spans="1:9" x14ac:dyDescent="0.3">
      <c r="A6" s="54" t="s">
        <v>4</v>
      </c>
      <c r="C6" t="s">
        <v>88</v>
      </c>
    </row>
    <row r="7" spans="1:9" x14ac:dyDescent="0.3">
      <c r="A7" s="54" t="s">
        <v>32</v>
      </c>
    </row>
    <row r="8" spans="1:9" x14ac:dyDescent="0.3">
      <c r="A8" s="54" t="s">
        <v>5</v>
      </c>
    </row>
    <row r="9" spans="1:9" x14ac:dyDescent="0.3">
      <c r="A9" s="54" t="s">
        <v>7</v>
      </c>
    </row>
    <row r="10" spans="1:9" x14ac:dyDescent="0.3">
      <c r="A10" s="54" t="s">
        <v>8</v>
      </c>
    </row>
    <row r="11" spans="1:9" x14ac:dyDescent="0.3">
      <c r="A11" s="54" t="s">
        <v>9</v>
      </c>
    </row>
    <row r="12" spans="1:9" x14ac:dyDescent="0.3">
      <c r="A12" s="54" t="s">
        <v>18</v>
      </c>
    </row>
    <row r="13" spans="1:9" x14ac:dyDescent="0.3">
      <c r="A13" s="54" t="s">
        <v>54</v>
      </c>
    </row>
    <row r="14" spans="1:9" x14ac:dyDescent="0.3">
      <c r="A14" s="54" t="s">
        <v>11</v>
      </c>
    </row>
    <row r="15" spans="1:9" x14ac:dyDescent="0.3">
      <c r="A15" s="54" t="s">
        <v>12</v>
      </c>
    </row>
    <row r="16" spans="1:9" x14ac:dyDescent="0.3">
      <c r="A16" s="54" t="s">
        <v>13</v>
      </c>
    </row>
    <row r="17" spans="1:1" x14ac:dyDescent="0.3">
      <c r="A17" s="54" t="s">
        <v>14</v>
      </c>
    </row>
    <row r="18" spans="1:1" x14ac:dyDescent="0.3">
      <c r="A18" s="54" t="s">
        <v>3</v>
      </c>
    </row>
    <row r="19" spans="1:1" x14ac:dyDescent="0.3">
      <c r="A19" s="54" t="s">
        <v>15</v>
      </c>
    </row>
    <row r="20" spans="1:1" x14ac:dyDescent="0.3">
      <c r="A20" s="54" t="s">
        <v>16</v>
      </c>
    </row>
    <row r="21" spans="1:1" x14ac:dyDescent="0.3">
      <c r="A21" s="54" t="s">
        <v>17</v>
      </c>
    </row>
    <row r="22" spans="1:1" x14ac:dyDescent="0.3">
      <c r="A22" s="54" t="s">
        <v>6</v>
      </c>
    </row>
    <row r="23" spans="1:1" x14ac:dyDescent="0.3">
      <c r="A23" s="54" t="s">
        <v>55</v>
      </c>
    </row>
    <row r="24" spans="1:1" x14ac:dyDescent="0.3">
      <c r="A24" s="54" t="s">
        <v>19</v>
      </c>
    </row>
    <row r="25" spans="1:1" x14ac:dyDescent="0.3">
      <c r="A25" s="54" t="s">
        <v>21</v>
      </c>
    </row>
    <row r="26" spans="1:1" x14ac:dyDescent="0.3">
      <c r="A26" s="54" t="s">
        <v>20</v>
      </c>
    </row>
    <row r="27" spans="1:1" x14ac:dyDescent="0.3">
      <c r="A27" s="54" t="s">
        <v>34</v>
      </c>
    </row>
    <row r="28" spans="1:1" x14ac:dyDescent="0.3">
      <c r="A28" s="54" t="s">
        <v>22</v>
      </c>
    </row>
    <row r="29" spans="1:1" x14ac:dyDescent="0.3">
      <c r="A29" s="54" t="s">
        <v>10</v>
      </c>
    </row>
    <row r="30" spans="1:1" x14ac:dyDescent="0.3">
      <c r="A30" s="54" t="s">
        <v>27</v>
      </c>
    </row>
    <row r="31" spans="1:1" x14ac:dyDescent="0.3">
      <c r="A31" s="54" t="s">
        <v>28</v>
      </c>
    </row>
    <row r="32" spans="1:1" x14ac:dyDescent="0.3">
      <c r="A32" s="54" t="s">
        <v>29</v>
      </c>
    </row>
    <row r="33" spans="1:1" x14ac:dyDescent="0.3">
      <c r="A33" s="54" t="s">
        <v>30</v>
      </c>
    </row>
    <row r="34" spans="1:1" x14ac:dyDescent="0.3">
      <c r="A34" s="54" t="s">
        <v>31</v>
      </c>
    </row>
    <row r="35" spans="1:1" x14ac:dyDescent="0.3">
      <c r="A35" s="54" t="s">
        <v>67</v>
      </c>
    </row>
    <row r="36" spans="1:1" x14ac:dyDescent="0.3">
      <c r="A36" s="54" t="s">
        <v>68</v>
      </c>
    </row>
    <row r="37" spans="1:1" x14ac:dyDescent="0.3">
      <c r="A37" s="54" t="s">
        <v>69</v>
      </c>
    </row>
    <row r="38" spans="1:1" x14ac:dyDescent="0.3">
      <c r="A38" s="54" t="s">
        <v>70</v>
      </c>
    </row>
    <row r="39" spans="1:1" x14ac:dyDescent="0.3">
      <c r="A39" s="54" t="s">
        <v>71</v>
      </c>
    </row>
    <row r="40" spans="1:1" x14ac:dyDescent="0.3">
      <c r="A40" s="54" t="s">
        <v>72</v>
      </c>
    </row>
    <row r="41" spans="1:1" x14ac:dyDescent="0.3">
      <c r="A41" s="54" t="s">
        <v>73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4818A-50F9-47A8-9CFF-03965A7C6BD9}">
  <sheetPr codeName="Hoja4">
    <pageSetUpPr fitToPage="1"/>
  </sheetPr>
  <dimension ref="A1:M22"/>
  <sheetViews>
    <sheetView showGridLines="0" showRowColHeaders="0" showRuler="0" zoomScale="50" zoomScaleNormal="50" zoomScaleSheetLayoutView="50" zoomScalePageLayoutView="70" workbookViewId="0">
      <selection activeCell="C12" sqref="C12:J18"/>
    </sheetView>
  </sheetViews>
  <sheetFormatPr baseColWidth="10" defaultColWidth="0" defaultRowHeight="30" customHeight="1" x14ac:dyDescent="0.3"/>
  <cols>
    <col min="1" max="1" width="4.88671875" style="1" customWidth="1"/>
    <col min="2" max="2" width="52.6640625" style="1" customWidth="1"/>
    <col min="3" max="4" width="20.6640625" style="1" customWidth="1"/>
    <col min="5" max="10" width="20.6640625" style="2" customWidth="1"/>
    <col min="11" max="11" width="3" style="1" hidden="1" customWidth="1"/>
    <col min="12" max="13" width="8.88671875" style="1" customWidth="1"/>
    <col min="14" max="16384" width="8.88671875" style="1" hidden="1"/>
  </cols>
  <sheetData>
    <row r="1" spans="2:11" ht="87.75" customHeight="1" x14ac:dyDescent="0.3"/>
    <row r="2" spans="2:11" ht="48.6" customHeight="1" x14ac:dyDescent="0.3">
      <c r="B2" s="9" t="str">
        <f>IF(REGISTRO!$H$6="","",REGISTRO!H6)</f>
        <v/>
      </c>
      <c r="C2" s="3"/>
      <c r="D2" s="4"/>
      <c r="E2" s="4"/>
      <c r="F2" s="4"/>
      <c r="G2" s="6"/>
      <c r="H2" s="8" t="s">
        <v>39</v>
      </c>
      <c r="I2" s="10" t="str">
        <f>IFERROR("OM#"&amp;REGISTRO!T8 &amp;"/" &amp;RIGHT(YEAR(REGISTRO!$H$8),2),"")</f>
        <v>OM#/00</v>
      </c>
      <c r="J2" s="6"/>
      <c r="K2" s="5"/>
    </row>
    <row r="4" spans="2:11" ht="30" customHeight="1" x14ac:dyDescent="0.6">
      <c r="B4" s="134" t="s">
        <v>51</v>
      </c>
      <c r="C4" s="134"/>
      <c r="D4" s="134"/>
      <c r="E4" s="134"/>
      <c r="F4" s="134"/>
      <c r="G4" s="134"/>
      <c r="H4" s="134"/>
      <c r="I4" s="134"/>
      <c r="J4" s="134"/>
    </row>
    <row r="5" spans="2:11" ht="30" customHeight="1" x14ac:dyDescent="0.3">
      <c r="B5" s="135" t="s">
        <v>42</v>
      </c>
      <c r="C5" s="136"/>
      <c r="D5" s="137"/>
      <c r="E5" s="137"/>
      <c r="F5" s="137"/>
      <c r="G5" s="137"/>
      <c r="H5" s="137"/>
      <c r="I5" s="137"/>
      <c r="J5" s="138"/>
    </row>
    <row r="6" spans="2:11" ht="30" customHeight="1" x14ac:dyDescent="0.3">
      <c r="B6" s="135"/>
      <c r="C6" s="139"/>
      <c r="D6" s="140"/>
      <c r="E6" s="140"/>
      <c r="F6" s="140"/>
      <c r="G6" s="140"/>
      <c r="H6" s="140"/>
      <c r="I6" s="140"/>
      <c r="J6" s="141"/>
    </row>
    <row r="7" spans="2:11" ht="30" customHeight="1" x14ac:dyDescent="0.3">
      <c r="B7" s="135"/>
      <c r="C7" s="139"/>
      <c r="D7" s="140"/>
      <c r="E7" s="140"/>
      <c r="F7" s="140"/>
      <c r="G7" s="140"/>
      <c r="H7" s="140"/>
      <c r="I7" s="140"/>
      <c r="J7" s="141"/>
    </row>
    <row r="8" spans="2:11" ht="30" customHeight="1" x14ac:dyDescent="0.3">
      <c r="B8" s="135"/>
      <c r="C8" s="139"/>
      <c r="D8" s="140"/>
      <c r="E8" s="140"/>
      <c r="F8" s="140"/>
      <c r="G8" s="140"/>
      <c r="H8" s="140"/>
      <c r="I8" s="140"/>
      <c r="J8" s="141"/>
    </row>
    <row r="9" spans="2:11" ht="30" customHeight="1" x14ac:dyDescent="0.3">
      <c r="B9" s="135"/>
      <c r="C9" s="139"/>
      <c r="D9" s="140"/>
      <c r="E9" s="140"/>
      <c r="F9" s="140"/>
      <c r="G9" s="140"/>
      <c r="H9" s="140"/>
      <c r="I9" s="140"/>
      <c r="J9" s="141"/>
    </row>
    <row r="10" spans="2:11" ht="30" customHeight="1" x14ac:dyDescent="0.3">
      <c r="B10" s="135"/>
      <c r="C10" s="139"/>
      <c r="D10" s="140"/>
      <c r="E10" s="140"/>
      <c r="F10" s="140"/>
      <c r="G10" s="140"/>
      <c r="H10" s="140"/>
      <c r="I10" s="140"/>
      <c r="J10" s="141"/>
    </row>
    <row r="11" spans="2:11" ht="30" customHeight="1" x14ac:dyDescent="0.3">
      <c r="B11" s="135"/>
      <c r="C11" s="139"/>
      <c r="D11" s="140"/>
      <c r="E11" s="140"/>
      <c r="F11" s="140"/>
      <c r="G11" s="140"/>
      <c r="H11" s="140"/>
      <c r="I11" s="140"/>
      <c r="J11" s="141"/>
    </row>
    <row r="12" spans="2:11" ht="30" customHeight="1" x14ac:dyDescent="0.3">
      <c r="B12" s="135" t="s">
        <v>43</v>
      </c>
      <c r="C12" s="136"/>
      <c r="D12" s="137"/>
      <c r="E12" s="137"/>
      <c r="F12" s="137"/>
      <c r="G12" s="137"/>
      <c r="H12" s="137"/>
      <c r="I12" s="137"/>
      <c r="J12" s="138"/>
    </row>
    <row r="13" spans="2:11" ht="30" customHeight="1" x14ac:dyDescent="0.3">
      <c r="B13" s="135"/>
      <c r="C13" s="139"/>
      <c r="D13" s="140"/>
      <c r="E13" s="140"/>
      <c r="F13" s="140"/>
      <c r="G13" s="140"/>
      <c r="H13" s="140"/>
      <c r="I13" s="140"/>
      <c r="J13" s="141"/>
    </row>
    <row r="14" spans="2:11" ht="30" customHeight="1" x14ac:dyDescent="0.3">
      <c r="B14" s="135"/>
      <c r="C14" s="139"/>
      <c r="D14" s="140"/>
      <c r="E14" s="140"/>
      <c r="F14" s="140"/>
      <c r="G14" s="140"/>
      <c r="H14" s="140"/>
      <c r="I14" s="140"/>
      <c r="J14" s="141"/>
    </row>
    <row r="15" spans="2:11" ht="30" customHeight="1" x14ac:dyDescent="0.3">
      <c r="B15" s="135"/>
      <c r="C15" s="139"/>
      <c r="D15" s="140"/>
      <c r="E15" s="140"/>
      <c r="F15" s="140"/>
      <c r="G15" s="140"/>
      <c r="H15" s="140"/>
      <c r="I15" s="140"/>
      <c r="J15" s="141"/>
    </row>
    <row r="16" spans="2:11" ht="30" customHeight="1" x14ac:dyDescent="0.3">
      <c r="B16" s="135"/>
      <c r="C16" s="139"/>
      <c r="D16" s="140"/>
      <c r="E16" s="140"/>
      <c r="F16" s="140"/>
      <c r="G16" s="140"/>
      <c r="H16" s="140"/>
      <c r="I16" s="140"/>
      <c r="J16" s="141"/>
    </row>
    <row r="17" spans="2:11" ht="30" customHeight="1" x14ac:dyDescent="0.3">
      <c r="B17" s="135"/>
      <c r="C17" s="139"/>
      <c r="D17" s="140"/>
      <c r="E17" s="140"/>
      <c r="F17" s="140"/>
      <c r="G17" s="140"/>
      <c r="H17" s="140"/>
      <c r="I17" s="140"/>
      <c r="J17" s="141"/>
    </row>
    <row r="18" spans="2:11" ht="30" customHeight="1" x14ac:dyDescent="0.3">
      <c r="B18" s="135"/>
      <c r="C18" s="151"/>
      <c r="D18" s="152"/>
      <c r="E18" s="152"/>
      <c r="F18" s="152"/>
      <c r="G18" s="152"/>
      <c r="H18" s="152"/>
      <c r="I18" s="152"/>
      <c r="J18" s="153"/>
    </row>
    <row r="19" spans="2:11" ht="48.6" customHeight="1" x14ac:dyDescent="0.3">
      <c r="B19" s="7" t="s">
        <v>44</v>
      </c>
      <c r="C19" s="154" t="s">
        <v>45</v>
      </c>
      <c r="D19" s="154"/>
      <c r="E19" s="154"/>
      <c r="F19" s="154"/>
      <c r="G19" s="154" t="s">
        <v>46</v>
      </c>
      <c r="H19" s="154"/>
      <c r="I19" s="154"/>
      <c r="J19" s="155"/>
      <c r="K19" s="5"/>
    </row>
    <row r="20" spans="2:11" ht="30" customHeight="1" x14ac:dyDescent="0.3">
      <c r="B20" s="156"/>
      <c r="C20" s="159"/>
      <c r="D20" s="160"/>
      <c r="E20" s="160"/>
      <c r="F20" s="161"/>
      <c r="G20" s="142" t="str">
        <f>IF(REGISTRO!M19="","",REGISTRO!M19)</f>
        <v/>
      </c>
      <c r="H20" s="143"/>
      <c r="I20" s="143"/>
      <c r="J20" s="144"/>
    </row>
    <row r="21" spans="2:11" ht="30" customHeight="1" x14ac:dyDescent="0.3">
      <c r="B21" s="157"/>
      <c r="C21" s="162"/>
      <c r="D21" s="163"/>
      <c r="E21" s="163"/>
      <c r="F21" s="164"/>
      <c r="G21" s="145"/>
      <c r="H21" s="146"/>
      <c r="I21" s="146"/>
      <c r="J21" s="147"/>
    </row>
    <row r="22" spans="2:11" ht="30" customHeight="1" x14ac:dyDescent="0.3">
      <c r="B22" s="158"/>
      <c r="C22" s="165"/>
      <c r="D22" s="166"/>
      <c r="E22" s="166"/>
      <c r="F22" s="167"/>
      <c r="G22" s="148"/>
      <c r="H22" s="149"/>
      <c r="I22" s="149"/>
      <c r="J22" s="150"/>
    </row>
  </sheetData>
  <sheetProtection algorithmName="SHA-512" hashValue="VRiOoNxNnnBPwdP1eN82ERalin6MReXd6FnwisyrrzmgAxhLUtbPEypVSnhQGi8eK73UDp7+blOkRBRtXnjvTg==" saltValue="ttbFfkhWwwEQjra3VjEOCw==" spinCount="100000" sheet="1" objects="1" scenarios="1"/>
  <dataConsolidate/>
  <mergeCells count="10">
    <mergeCell ref="B4:J4"/>
    <mergeCell ref="B5:B11"/>
    <mergeCell ref="C5:J11"/>
    <mergeCell ref="G20:J22"/>
    <mergeCell ref="B12:B18"/>
    <mergeCell ref="C12:J18"/>
    <mergeCell ref="C19:F19"/>
    <mergeCell ref="G19:J19"/>
    <mergeCell ref="B20:B22"/>
    <mergeCell ref="C20:F22"/>
  </mergeCells>
  <printOptions horizontalCentered="1"/>
  <pageMargins left="0.25" right="0.25" top="0.5" bottom="0.5" header="0.3" footer="0.3"/>
  <pageSetup paperSize="9" scale="62" fitToHeight="0" orientation="landscape" r:id="rId1"/>
  <headerFooter differentFirst="1" scaleWithDoc="0">
    <oddFooter>Page &amp;P of &amp;N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59B9BB65-FB9A-45AA-82BC-1353DE1FA388}">
            <xm:f>IFERROR("OM#" &amp;"/" &amp;RIGHT(YEAR(REGISTRO!$H$8),2),"")</xm:f>
            <x14:dxf>
              <font>
                <color rgb="FFCCFFCC"/>
              </font>
              <fill>
                <patternFill>
                  <bgColor rgb="FFCCFFCC"/>
                </patternFill>
              </fill>
            </x14:dxf>
          </x14:cfRule>
          <xm:sqref>I2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8.xml>��
</file>

<file path=customXml/item9.xml>��
</file>

<file path=customXml/item10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CC8CE97FD65D74DB3E37D09DDEC4903" ma:contentTypeVersion="12" ma:contentTypeDescription="Crear nuevo documento." ma:contentTypeScope="" ma:versionID="a98d7139ab062567f8e7eea3f1a1d37c">
  <xsd:schema xmlns:xsd="http://www.w3.org/2001/XMLSchema" xmlns:xs="http://www.w3.org/2001/XMLSchema" xmlns:p="http://schemas.microsoft.com/office/2006/metadata/properties" xmlns:ns3="fda50c9b-53f8-4c3c-a2ef-f4fb883500fe" xmlns:ns4="6726272b-e4e4-4338-bc5f-6f2ef5c4905e" targetNamespace="http://schemas.microsoft.com/office/2006/metadata/properties" ma:root="true" ma:fieldsID="229263496db776122105654073f59481" ns3:_="" ns4:_="">
    <xsd:import namespace="fda50c9b-53f8-4c3c-a2ef-f4fb883500fe"/>
    <xsd:import namespace="6726272b-e4e4-4338-bc5f-6f2ef5c4905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a50c9b-53f8-4c3c-a2ef-f4fb883500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26272b-e4e4-4338-bc5f-6f2ef5c4905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C70A49D2-4BF9-4B53-BAAC-1098BF432AA5}">
  <ds:schemaRefs/>
</ds:datastoreItem>
</file>

<file path=customXml/itemProps2.xml><?xml version="1.0" encoding="utf-8"?>
<ds:datastoreItem xmlns:ds="http://schemas.openxmlformats.org/officeDocument/2006/customXml" ds:itemID="{4F3CEFF9-F072-40A1-B3C2-43504D8E8BCC}">
  <ds:schemaRefs/>
</ds:datastoreItem>
</file>

<file path=customXml/itemProps3.xml><?xml version="1.0" encoding="utf-8"?>
<ds:datastoreItem xmlns:ds="http://schemas.openxmlformats.org/officeDocument/2006/customXml" ds:itemID="{8D5BF92D-3DB1-403F-8798-9D70BBA94DBF}">
  <ds:schemaRefs/>
</ds:datastoreItem>
</file>

<file path=customXml/itemProps4.xml><?xml version="1.0" encoding="utf-8"?>
<ds:datastoreItem xmlns:ds="http://schemas.openxmlformats.org/officeDocument/2006/customXml" ds:itemID="{BF923FD6-6641-4B30-A1E4-BD2C6D8890D0}">
  <ds:schemaRefs/>
</ds:datastoreItem>
</file>

<file path=customXml/itemProps5.xml><?xml version="1.0" encoding="utf-8"?>
<ds:datastoreItem xmlns:ds="http://schemas.openxmlformats.org/officeDocument/2006/customXml" ds:itemID="{DD51F304-BAE3-4FCD-AB13-911477607D32}">
  <ds:schemaRefs/>
</ds:datastoreItem>
</file>

<file path=customXml/itemProps6.xml><?xml version="1.0" encoding="utf-8"?>
<ds:datastoreItem xmlns:ds="http://schemas.openxmlformats.org/officeDocument/2006/customXml" ds:itemID="{FD2EFDDB-7100-420F-A15B-A6C8922DC42B}">
  <ds:schemaRefs/>
</ds:datastoreItem>
</file>

<file path=customXml/itemProps7.xml><?xml version="1.0" encoding="utf-8"?>
<ds:datastoreItem xmlns:ds="http://schemas.openxmlformats.org/officeDocument/2006/customXml" ds:itemID="{391D71AF-5FB9-4BD0-86F4-62324934C935}">
  <ds:schemaRefs>
    <ds:schemaRef ds:uri="http://schemas.microsoft.com/sharepoint/v3/contenttype/forms"/>
  </ds:schemaRefs>
</ds:datastoreItem>
</file>

<file path=customXml/itemProps8.xml><?xml version="1.0" encoding="utf-8"?>
<ds:datastoreItem xmlns:ds="http://schemas.openxmlformats.org/officeDocument/2006/customXml" ds:itemID="{75FC088C-39FA-4A7F-B7A2-38E79749057D}">
  <ds:schemaRefs/>
</ds:datastoreItem>
</file>

<file path=customXml/itemProps9.xml><?xml version="1.0" encoding="utf-8"?>
<ds:datastoreItem xmlns:ds="http://schemas.openxmlformats.org/officeDocument/2006/customXml" ds:itemID="{C291BE4D-9772-4DBC-B4AF-8F996704BE2D}">
  <ds:schemaRefs/>
</ds:datastoreItem>
</file>

<file path=customXml/itemProps10.xml><?xml version="1.0" encoding="utf-8"?>
<ds:datastoreItem xmlns:ds="http://schemas.openxmlformats.org/officeDocument/2006/customXml" ds:itemID="{85A41D53-FA67-44AE-8876-08115694A6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a50c9b-53f8-4c3c-a2ef-f4fb883500fe"/>
    <ds:schemaRef ds:uri="6726272b-e4e4-4338-bc5f-6f2ef5c490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1.xml><?xml version="1.0" encoding="utf-8"?>
<ds:datastoreItem xmlns:ds="http://schemas.openxmlformats.org/officeDocument/2006/customXml" ds:itemID="{95499B2E-B4EA-4D4E-8393-FC299E62A7F6}">
  <ds:schemaRefs/>
</ds:datastoreItem>
</file>

<file path=customXml/itemProps12.xml><?xml version="1.0" encoding="utf-8"?>
<ds:datastoreItem xmlns:ds="http://schemas.openxmlformats.org/officeDocument/2006/customXml" ds:itemID="{61E4413B-725E-46AC-BE4E-A3638C9B83A6}">
  <ds:schemaRefs/>
</ds:datastoreItem>
</file>

<file path=customXml/itemProps13.xml><?xml version="1.0" encoding="utf-8"?>
<ds:datastoreItem xmlns:ds="http://schemas.openxmlformats.org/officeDocument/2006/customXml" ds:itemID="{AA092B3E-675E-4587-9FFC-DBAB2F5D7DF2}">
  <ds:schemaRefs/>
</ds:datastoreItem>
</file>

<file path=customXml/itemProps14.xml><?xml version="1.0" encoding="utf-8"?>
<ds:datastoreItem xmlns:ds="http://schemas.openxmlformats.org/officeDocument/2006/customXml" ds:itemID="{A5929F69-3003-41B8-9530-43CC76ED617F}">
  <ds:schemaRefs/>
</ds:datastoreItem>
</file>

<file path=customXml/itemProps15.xml><?xml version="1.0" encoding="utf-8"?>
<ds:datastoreItem xmlns:ds="http://schemas.openxmlformats.org/officeDocument/2006/customXml" ds:itemID="{B5CA6580-33B5-44C3-8370-A7E8FB98F348}">
  <ds:schemaRefs/>
</ds:datastoreItem>
</file>

<file path=customXml/itemProps16.xml><?xml version="1.0" encoding="utf-8"?>
<ds:datastoreItem xmlns:ds="http://schemas.openxmlformats.org/officeDocument/2006/customXml" ds:itemID="{4F1DFFB4-6E07-4C65-983C-DA80476C17DD}">
  <ds:schemaRefs/>
</ds:datastoreItem>
</file>

<file path=customXml/itemProps17.xml><?xml version="1.0" encoding="utf-8"?>
<ds:datastoreItem xmlns:ds="http://schemas.openxmlformats.org/officeDocument/2006/customXml" ds:itemID="{6890C713-BAA3-473E-84AE-D982670D5B78}">
  <ds:schemaRefs>
    <ds:schemaRef ds:uri="http://schemas.microsoft.com/office/2006/documentManagement/types"/>
    <ds:schemaRef ds:uri="fda50c9b-53f8-4c3c-a2ef-f4fb883500fe"/>
    <ds:schemaRef ds:uri="http://www.w3.org/XML/1998/namespace"/>
    <ds:schemaRef ds:uri="http://purl.org/dc/dcmitype/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6726272b-e4e4-4338-bc5f-6f2ef5c4905e"/>
    <ds:schemaRef ds:uri="http://schemas.microsoft.com/office/2006/metadata/properties"/>
  </ds:schemaRefs>
</ds:datastoreItem>
</file>

<file path=customXml/itemProps18.xml><?xml version="1.0" encoding="utf-8"?>
<ds:datastoreItem xmlns:ds="http://schemas.openxmlformats.org/officeDocument/2006/customXml" ds:itemID="{33CF086B-0167-45D2-8A80-53CD9C98B8DE}">
  <ds:schemaRefs/>
</ds:datastoreItem>
</file>

<file path=customXml/itemProps19.xml><?xml version="1.0" encoding="utf-8"?>
<ds:datastoreItem xmlns:ds="http://schemas.openxmlformats.org/officeDocument/2006/customXml" ds:itemID="{24C1E146-DFC3-4D70-B6F6-164BF2F2717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5</vt:i4>
      </vt:variant>
    </vt:vector>
  </HeadingPairs>
  <TitlesOfParts>
    <vt:vector size="9" baseType="lpstr">
      <vt:lpstr>REGISTRO</vt:lpstr>
      <vt:lpstr>ACTIVIDADES</vt:lpstr>
      <vt:lpstr>Descripción Categorías Mejoras</vt:lpstr>
      <vt:lpstr>DATOS </vt:lpstr>
      <vt:lpstr>ACTIVIDADES!Área_de_impresión</vt:lpstr>
      <vt:lpstr>AUDITOR!Área_de_impresión</vt:lpstr>
      <vt:lpstr>REGISTRO!Área_de_impresión</vt:lpstr>
      <vt:lpstr>ACTIVIDADES!Lista_Verificación</vt:lpstr>
      <vt:lpstr>ACTIVIDADES!Títulos_a_imprimir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Omen</dc:creator>
  <cp:lastModifiedBy>Hector Paez</cp:lastModifiedBy>
  <cp:lastPrinted>2026-03-19T20:12:34Z</cp:lastPrinted>
  <dcterms:created xsi:type="dcterms:W3CDTF">2022-09-01T21:46:58Z</dcterms:created>
  <dcterms:modified xsi:type="dcterms:W3CDTF">2026-04-23T00:45:13Z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0x010100DCC8CE97FD65D74DB3E37D09DDEC4903</vt:lpwstr>
  </property>
</Properties>
</file>